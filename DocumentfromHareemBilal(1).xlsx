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CS\Documents\"/>
    </mc:Choice>
  </mc:AlternateContent>
  <xr:revisionPtr revIDLastSave="0" documentId="8_{52BE8473-01CC-4900-95F1-B7FA8280E87D}" xr6:coauthVersionLast="47" xr6:coauthVersionMax="47" xr10:uidLastSave="{00000000-0000-0000-0000-000000000000}"/>
  <bookViews>
    <workbookView xWindow="-98" yWindow="-98" windowWidth="19396" windowHeight="10546" activeTab="8" xr2:uid="{82E0D0E8-7F74-43D2-A772-642C947376AB}"/>
  </bookViews>
  <sheets>
    <sheet name="Sheet3" sheetId="3" r:id="rId1"/>
    <sheet name="Sheet2" sheetId="2" r:id="rId2"/>
    <sheet name="Sheet5" sheetId="5" r:id="rId3"/>
    <sheet name="Sheet4" sheetId="4" r:id="rId4"/>
    <sheet name="Sheet6" sheetId="6" r:id="rId5"/>
    <sheet name="Sheet7" sheetId="7" r:id="rId6"/>
    <sheet name="Sheet8" sheetId="8" r:id="rId7"/>
    <sheet name="Sheet9" sheetId="9" r:id="rId8"/>
    <sheet name="Sheet1" sheetId="1" r:id="rId9"/>
  </sheets>
  <calcPr calcId="18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K22" i="1"/>
  <c r="J22" i="1"/>
  <c r="H22" i="1"/>
  <c r="C22" i="1"/>
  <c r="F7" i="1"/>
  <c r="I7" i="1"/>
  <c r="J7" i="1"/>
  <c r="K7" i="1" s="1"/>
  <c r="N7" i="1"/>
  <c r="F8" i="1"/>
  <c r="I8" i="1"/>
  <c r="J8" i="1"/>
  <c r="K8" i="1" s="1"/>
  <c r="N9" i="1" s="1"/>
  <c r="F9" i="1"/>
  <c r="I9" i="1"/>
  <c r="J9" i="1"/>
  <c r="K9" i="1" s="1"/>
  <c r="F10" i="1"/>
  <c r="I10" i="1"/>
  <c r="J10" i="1"/>
  <c r="K10" i="1" s="1"/>
  <c r="F11" i="1"/>
  <c r="J11" i="1"/>
  <c r="K11" i="1" s="1"/>
  <c r="F12" i="1"/>
  <c r="I12" i="1"/>
  <c r="J12" i="1"/>
  <c r="K12" i="1"/>
  <c r="F13" i="1"/>
  <c r="N13" i="1" s="1"/>
  <c r="I13" i="1"/>
  <c r="J13" i="1"/>
  <c r="K13" i="1" s="1"/>
  <c r="F14" i="1"/>
  <c r="I14" i="1"/>
  <c r="J14" i="1"/>
  <c r="K14" i="1" s="1"/>
  <c r="F15" i="1"/>
  <c r="I15" i="1"/>
  <c r="N15" i="1" s="1"/>
  <c r="J15" i="1"/>
  <c r="K15" i="1" s="1"/>
  <c r="F16" i="1"/>
  <c r="I16" i="1"/>
  <c r="J16" i="1"/>
  <c r="K16" i="1"/>
  <c r="N16" i="1" s="1"/>
  <c r="F17" i="1"/>
  <c r="I17" i="1"/>
  <c r="J17" i="1"/>
  <c r="K17" i="1" s="1"/>
  <c r="F18" i="1"/>
  <c r="I18" i="1"/>
  <c r="J18" i="1"/>
  <c r="K18" i="1" s="1"/>
  <c r="F19" i="1"/>
  <c r="I19" i="1"/>
  <c r="J19" i="1"/>
  <c r="K19" i="1" s="1"/>
  <c r="F20" i="1"/>
  <c r="I20" i="1"/>
  <c r="J20" i="1"/>
  <c r="K20" i="1" s="1"/>
  <c r="N20" i="1" s="1"/>
  <c r="F21" i="1"/>
  <c r="I21" i="1"/>
  <c r="J21" i="1"/>
  <c r="K21" i="1" s="1"/>
  <c r="D22" i="1"/>
  <c r="E22" i="1"/>
  <c r="G22" i="1"/>
  <c r="I22" i="1" l="1"/>
  <c r="F22" i="1"/>
  <c r="N14" i="1"/>
  <c r="N12" i="1"/>
  <c r="N21" i="1"/>
  <c r="N19" i="1"/>
  <c r="N17" i="1"/>
  <c r="N23" i="1"/>
  <c r="N10" i="1"/>
  <c r="L7" i="1"/>
  <c r="N8" i="1"/>
  <c r="N11" i="1"/>
  <c r="N18" i="1"/>
  <c r="N22" i="1" l="1"/>
</calcChain>
</file>

<file path=xl/sharedStrings.xml><?xml version="1.0" encoding="utf-8"?>
<sst xmlns="http://schemas.openxmlformats.org/spreadsheetml/2006/main" count="542" uniqueCount="350">
  <si>
    <t>S.NO</t>
  </si>
  <si>
    <t xml:space="preserve">ITEMS </t>
  </si>
  <si>
    <t>PURCHASE</t>
  </si>
  <si>
    <t xml:space="preserve">DATE </t>
  </si>
  <si>
    <t xml:space="preserve">AMOUNT </t>
  </si>
  <si>
    <t xml:space="preserve">QUANTITY </t>
  </si>
  <si>
    <t xml:space="preserve">RATE </t>
  </si>
  <si>
    <t xml:space="preserve">SALES </t>
  </si>
  <si>
    <t xml:space="preserve">QUATITY </t>
  </si>
  <si>
    <t>RATE</t>
  </si>
  <si>
    <t xml:space="preserve">CLOSING STOCK </t>
  </si>
  <si>
    <t>Samsung galaxy</t>
  </si>
  <si>
    <t>Redme note 13</t>
  </si>
  <si>
    <t>Oppo A38</t>
  </si>
  <si>
    <t>Vivo</t>
  </si>
  <si>
    <t xml:space="preserve">Realme </t>
  </si>
  <si>
    <t>Cemon 19</t>
  </si>
  <si>
    <t xml:space="preserve">Motorola </t>
  </si>
  <si>
    <t xml:space="preserve">Itel </t>
  </si>
  <si>
    <t xml:space="preserve">Vego tel </t>
  </si>
  <si>
    <t xml:space="preserve">Tecno </t>
  </si>
  <si>
    <t xml:space="preserve">Nokia </t>
  </si>
  <si>
    <t xml:space="preserve">Q mobile </t>
  </si>
  <si>
    <t xml:space="preserve">One plus </t>
  </si>
  <si>
    <t xml:space="preserve">Infinix </t>
  </si>
  <si>
    <t>PROFIT &amp;LOSS</t>
  </si>
  <si>
    <t>I phone 17</t>
  </si>
  <si>
    <t>STATUS</t>
  </si>
  <si>
    <t xml:space="preserve">               STOCK IN MANAGEMENT OF 2025</t>
  </si>
  <si>
    <t>Column Labels</t>
  </si>
  <si>
    <t>Grand Total</t>
  </si>
  <si>
    <t>Row Labels</t>
  </si>
  <si>
    <t>20 Sum of AMOUNT 2</t>
  </si>
  <si>
    <t>50 Sum of AMOUNT 2</t>
  </si>
  <si>
    <t>80 Sum of AMOUNT 2</t>
  </si>
  <si>
    <t>100 Sum of AMOUNT 2</t>
  </si>
  <si>
    <t>150 Sum of AMOUNT 2</t>
  </si>
  <si>
    <t>200 Sum of AMOUNT 2</t>
  </si>
  <si>
    <t>250 Sum of AMOUNT 2</t>
  </si>
  <si>
    <t>320 Sum of AMOUNT 2</t>
  </si>
  <si>
    <t>350 Sum of AMOUNT 2</t>
  </si>
  <si>
    <t>400 Sum of AMOUNT 2</t>
  </si>
  <si>
    <t>450 Sum of AMOUNT 2</t>
  </si>
  <si>
    <t>500 Sum of AMOUNT 2</t>
  </si>
  <si>
    <t>600 Sum of AMOUNT 2</t>
  </si>
  <si>
    <t>700 Sum of AMOUNT 2</t>
  </si>
  <si>
    <t>750 Sum of AMOUNT 2</t>
  </si>
  <si>
    <t>Total Sum of AMOUNT 2</t>
  </si>
  <si>
    <t>Sum of AMOUNT 2</t>
  </si>
  <si>
    <t>20 Sum of QUANTITY 2</t>
  </si>
  <si>
    <t>50 Sum of QUANTITY 2</t>
  </si>
  <si>
    <t>80 Sum of QUANTITY 2</t>
  </si>
  <si>
    <t>100 Sum of QUANTITY 2</t>
  </si>
  <si>
    <t>150 Sum of QUANTITY 2</t>
  </si>
  <si>
    <t>200 Sum of QUANTITY 2</t>
  </si>
  <si>
    <t>250 Sum of QUANTITY 2</t>
  </si>
  <si>
    <t>320 Sum of QUANTITY 2</t>
  </si>
  <si>
    <t>350 Sum of QUANTITY 2</t>
  </si>
  <si>
    <t>400 Sum of QUANTITY 2</t>
  </si>
  <si>
    <t>450 Sum of QUANTITY 2</t>
  </si>
  <si>
    <t>500 Sum of QUANTITY 2</t>
  </si>
  <si>
    <t>600 Sum of QUANTITY 2</t>
  </si>
  <si>
    <t>700 Sum of QUANTITY 2</t>
  </si>
  <si>
    <t>750 Sum of QUANTITY 2</t>
  </si>
  <si>
    <t>Total Sum of QUANTITY 2</t>
  </si>
  <si>
    <t>Sum of QUANTITY 2</t>
  </si>
  <si>
    <t xml:space="preserve">Total Sum of AMOUNT </t>
  </si>
  <si>
    <t xml:space="preserve">Samsung galaxy Sum of AMOUNT </t>
  </si>
  <si>
    <t xml:space="preserve">Redme note 13 Sum of AMOUNT </t>
  </si>
  <si>
    <t xml:space="preserve">Oppo A38 Sum of AMOUNT </t>
  </si>
  <si>
    <t xml:space="preserve">Vivo Sum of AMOUNT </t>
  </si>
  <si>
    <t xml:space="preserve">Realme  Sum of AMOUNT </t>
  </si>
  <si>
    <t xml:space="preserve">Cemon 19 Sum of AMOUNT </t>
  </si>
  <si>
    <t xml:space="preserve">Motorola  Sum of AMOUNT </t>
  </si>
  <si>
    <t xml:space="preserve">Itel  Sum of AMOUNT </t>
  </si>
  <si>
    <t xml:space="preserve">Vego tel  Sum of AMOUNT </t>
  </si>
  <si>
    <t xml:space="preserve">Tecno  Sum of AMOUNT </t>
  </si>
  <si>
    <t xml:space="preserve">Nokia  Sum of AMOUNT </t>
  </si>
  <si>
    <t xml:space="preserve">I phone 17 Sum of AMOUNT </t>
  </si>
  <si>
    <t xml:space="preserve">Q mobile  Sum of AMOUNT </t>
  </si>
  <si>
    <t xml:space="preserve">One plus  Sum of AMOUNT </t>
  </si>
  <si>
    <t xml:space="preserve">Infinix  Sum of AMOUNT </t>
  </si>
  <si>
    <t xml:space="preserve">Sum of AMOUNT </t>
  </si>
  <si>
    <t xml:space="preserve">100 Sum of AMOUNT </t>
  </si>
  <si>
    <t xml:space="preserve">500 Sum of AMOUNT </t>
  </si>
  <si>
    <t xml:space="preserve">400 Sum of AMOUNT </t>
  </si>
  <si>
    <t xml:space="preserve">200 Sum of AMOUNT </t>
  </si>
  <si>
    <t xml:space="preserve">50 Sum of AMOUNT </t>
  </si>
  <si>
    <t xml:space="preserve">600 Sum of AMOUNT </t>
  </si>
  <si>
    <t xml:space="preserve">700 Sum of AMOUNT </t>
  </si>
  <si>
    <t xml:space="preserve">150 Sum of AMOUNT </t>
  </si>
  <si>
    <t xml:space="preserve">20 Sum of AMOUNT </t>
  </si>
  <si>
    <t xml:space="preserve">450 Sum of AMOUNT </t>
  </si>
  <si>
    <t xml:space="preserve">350 Sum of AMOUNT </t>
  </si>
  <si>
    <t xml:space="preserve">750 Sum of AMOUNT </t>
  </si>
  <si>
    <t xml:space="preserve">320 Sum of AMOUNT </t>
  </si>
  <si>
    <t xml:space="preserve">250 Sum of AMOUNT </t>
  </si>
  <si>
    <t xml:space="preserve">80 Sum of AMOUNT </t>
  </si>
  <si>
    <t>Total Sum of RATE</t>
  </si>
  <si>
    <t>Samsung galaxy Sum of RATE</t>
  </si>
  <si>
    <t>Redme note 13 Sum of RATE</t>
  </si>
  <si>
    <t>Oppo A38 Sum of RATE</t>
  </si>
  <si>
    <t>Vivo Sum of RATE</t>
  </si>
  <si>
    <t>Realme  Sum of RATE</t>
  </si>
  <si>
    <t>Cemon 19 Sum of RATE</t>
  </si>
  <si>
    <t>Motorola  Sum of RATE</t>
  </si>
  <si>
    <t>Itel  Sum of RATE</t>
  </si>
  <si>
    <t>Vego tel  Sum of RATE</t>
  </si>
  <si>
    <t>Tecno  Sum of RATE</t>
  </si>
  <si>
    <t>Nokia  Sum of RATE</t>
  </si>
  <si>
    <t>I phone 17 Sum of RATE</t>
  </si>
  <si>
    <t>Q mobile  Sum of RATE</t>
  </si>
  <si>
    <t>One plus  Sum of RATE</t>
  </si>
  <si>
    <t>Infinix  Sum of RATE</t>
  </si>
  <si>
    <t>100 Sum of RATE</t>
  </si>
  <si>
    <t>500 Sum of RATE</t>
  </si>
  <si>
    <t>400 Sum of RATE</t>
  </si>
  <si>
    <t>200 Sum of RATE</t>
  </si>
  <si>
    <t>50 Sum of RATE</t>
  </si>
  <si>
    <t>600 Sum of RATE</t>
  </si>
  <si>
    <t>700 Sum of RATE</t>
  </si>
  <si>
    <t>150 Sum of RATE</t>
  </si>
  <si>
    <t>20 Sum of RATE</t>
  </si>
  <si>
    <t>450 Sum of RATE</t>
  </si>
  <si>
    <t>350 Sum of RATE</t>
  </si>
  <si>
    <t>750 Sum of RATE</t>
  </si>
  <si>
    <t>320 Sum of RATE</t>
  </si>
  <si>
    <t>250 Sum of RATE</t>
  </si>
  <si>
    <t>80 Sum of RATE</t>
  </si>
  <si>
    <t>Sum of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</si>
  <si>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</si>
  <si>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</si>
  <si>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</si>
  <si>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</si>
  <si>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</si>
  <si>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</si>
  <si>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</si>
  <si>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</si>
  <si>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</si>
  <si>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</si>
  <si>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</si>
  <si>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</si>
  <si>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800000 Total</t>
  </si>
  <si>
    <t>51000 Sum of RATE</t>
  </si>
  <si>
    <t>800000 Sum of RATE</t>
  </si>
  <si>
    <t>18000 Sum of RATE</t>
  </si>
  <si>
    <t>12000 Sum of RATE</t>
  </si>
  <si>
    <t>40000 Sum of RATE</t>
  </si>
  <si>
    <t>34999 Sum of RATE</t>
  </si>
  <si>
    <t>43000 Sum of RATE</t>
  </si>
  <si>
    <t>62000 Sum of RATE</t>
  </si>
  <si>
    <t>22800 Sum of RATE</t>
  </si>
  <si>
    <t>20000 Sum of RATE</t>
  </si>
  <si>
    <t>35999 Sum of RATE</t>
  </si>
  <si>
    <t>15 Sum of RATE</t>
  </si>
  <si>
    <t>56500 Sum of RATE</t>
  </si>
  <si>
    <t>16500 Sum of RATE</t>
  </si>
  <si>
    <t>15000 Sum of RATE</t>
  </si>
  <si>
    <t>66900 Sum of RATE</t>
  </si>
  <si>
    <t>Cemon 19 Sum of AMOUNT 2</t>
  </si>
  <si>
    <t>I phone 17 Sum of AMOUNT 2</t>
  </si>
  <si>
    <t>Infinix  Sum of AMOUNT 2</t>
  </si>
  <si>
    <t>Itel  Sum of AMOUNT 2</t>
  </si>
  <si>
    <t>Motorola  Sum of AMOUNT 2</t>
  </si>
  <si>
    <t>Nokia  Sum of AMOUNT 2</t>
  </si>
  <si>
    <t>One plus  Sum of AMOUNT 2</t>
  </si>
  <si>
    <t>Oppo A38 Sum of AMOUNT 2</t>
  </si>
  <si>
    <t>Q mobile  Sum of AMOUNT 2</t>
  </si>
  <si>
    <t>Realme  Sum of AMOUNT 2</t>
  </si>
  <si>
    <t>Redme note 13 Sum of AMOUNT 2</t>
  </si>
  <si>
    <t>Samsung galaxy Sum of AMOUNT 2</t>
  </si>
  <si>
    <t>Tecno  Sum of AMOUNT 2</t>
  </si>
  <si>
    <t>Vego tel  Sum of AMOUNT 2</t>
  </si>
  <si>
    <t>Vivo Sum of AMOUNT 2</t>
  </si>
  <si>
    <t>51000 Sum of AMOUNT 2</t>
  </si>
  <si>
    <t>800000 Sum of AMOUNT 2</t>
  </si>
  <si>
    <t>18000 Sum of AMOUNT 2</t>
  </si>
  <si>
    <t>12000 Sum of AMOUNT 2</t>
  </si>
  <si>
    <t>40000 Sum of AMOUNT 2</t>
  </si>
  <si>
    <t>34999 Sum of AMOUNT 2</t>
  </si>
  <si>
    <t>43000 Sum of AMOUNT 2</t>
  </si>
  <si>
    <t>62000 Sum of AMOUNT 2</t>
  </si>
  <si>
    <t>22800 Sum of AMOUNT 2</t>
  </si>
  <si>
    <t>20000 Sum of AMOUNT 2</t>
  </si>
  <si>
    <t>35999 Sum of AMOUNT 2</t>
  </si>
  <si>
    <t>15 Sum of AMOUNT 2</t>
  </si>
  <si>
    <t>56500 Sum of AMOUNT 2</t>
  </si>
  <si>
    <t>16500 Sum of AMOUNT 2</t>
  </si>
  <si>
    <t>15000 Sum of AMOUNT 2</t>
  </si>
  <si>
    <t>66900 Sum of AMOUNT 2</t>
  </si>
  <si>
    <t>Cemon 19 Sum of QUANTITY 2</t>
  </si>
  <si>
    <t>I phone 17 Sum of QUANTITY 2</t>
  </si>
  <si>
    <t>Infinix  Sum of QUANTITY 2</t>
  </si>
  <si>
    <t>Itel  Sum of QUANTITY 2</t>
  </si>
  <si>
    <t>Motorola  Sum of QUANTITY 2</t>
  </si>
  <si>
    <t>Nokia  Sum of QUANTITY 2</t>
  </si>
  <si>
    <t>One plus  Sum of QUANTITY 2</t>
  </si>
  <si>
    <t>Oppo A38 Sum of QUANTITY 2</t>
  </si>
  <si>
    <t>Q mobile  Sum of QUANTITY 2</t>
  </si>
  <si>
    <t>Realme  Sum of QUANTITY 2</t>
  </si>
  <si>
    <t>Redme note 13 Sum of QUANTITY 2</t>
  </si>
  <si>
    <t>Samsung galaxy Sum of QUANTITY 2</t>
  </si>
  <si>
    <t>Tecno  Sum of QUANTITY 2</t>
  </si>
  <si>
    <t>Vego tel  Sum of QUANTITY 2</t>
  </si>
  <si>
    <t>Vivo Sum of QUANTITY 2</t>
  </si>
  <si>
    <t>51000 Sum of QUANTITY 2</t>
  </si>
  <si>
    <t>800000 Sum of QUANTITY 2</t>
  </si>
  <si>
    <t>18000 Sum of QUANTITY 2</t>
  </si>
  <si>
    <t>12000 Sum of QUANTITY 2</t>
  </si>
  <si>
    <t>40000 Sum of QUANTITY 2</t>
  </si>
  <si>
    <t>34999 Sum of QUANTITY 2</t>
  </si>
  <si>
    <t>43000 Sum of QUANTITY 2</t>
  </si>
  <si>
    <t>62000 Sum of QUANTITY 2</t>
  </si>
  <si>
    <t>22800 Sum of QUANTITY 2</t>
  </si>
  <si>
    <t>20000 Sum of QUANTITY 2</t>
  </si>
  <si>
    <t>35999 Sum of QUANTITY 2</t>
  </si>
  <si>
    <t>15 Sum of QUANTITY 2</t>
  </si>
  <si>
    <t>56500 Sum of QUANTITY 2</t>
  </si>
  <si>
    <t>16500 Sum of QUANTITY 2</t>
  </si>
  <si>
    <t>15000 Sum of QUANTITY 2</t>
  </si>
  <si>
    <t>66900 Sum of QUANTITY 2</t>
  </si>
  <si>
    <t xml:space="preserve">51000 Sum of AMOUNT </t>
  </si>
  <si>
    <t xml:space="preserve">800000 Sum of AMOUNT </t>
  </si>
  <si>
    <t xml:space="preserve">18000 Sum of AMOUNT </t>
  </si>
  <si>
    <t xml:space="preserve">12000 Sum of AMOUNT </t>
  </si>
  <si>
    <t xml:space="preserve">40000 Sum of AMOUNT </t>
  </si>
  <si>
    <t xml:space="preserve">34999 Sum of AMOUNT </t>
  </si>
  <si>
    <t xml:space="preserve">43000 Sum of AMOUNT </t>
  </si>
  <si>
    <t xml:space="preserve">62000 Sum of AMOUNT </t>
  </si>
  <si>
    <t xml:space="preserve">22800 Sum of AMOUNT </t>
  </si>
  <si>
    <t xml:space="preserve">20000 Sum of AMOUNT </t>
  </si>
  <si>
    <t xml:space="preserve">35999 Sum of AMOUNT </t>
  </si>
  <si>
    <t xml:space="preserve">15 Sum of AMOUNT </t>
  </si>
  <si>
    <t xml:space="preserve">56500 Sum of AMOUNT </t>
  </si>
  <si>
    <t xml:space="preserve">16500 Sum of AMOUNT </t>
  </si>
  <si>
    <t xml:space="preserve">15000 Sum of AMOUNT </t>
  </si>
  <si>
    <t xml:space="preserve">66900 Sum of AMOUNT </t>
  </si>
  <si>
    <t>Cemon 19 Sum of AMOUNT 3</t>
  </si>
  <si>
    <t>I phone 17 Sum of AMOUNT 3</t>
  </si>
  <si>
    <t>Infinix  Sum of AMOUNT 3</t>
  </si>
  <si>
    <t>Itel  Sum of AMOUNT 3</t>
  </si>
  <si>
    <t>Motorola  Sum of AMOUNT 3</t>
  </si>
  <si>
    <t>Nokia  Sum of AMOUNT 3</t>
  </si>
  <si>
    <t>One plus  Sum of AMOUNT 3</t>
  </si>
  <si>
    <t>Oppo A38 Sum of AMOUNT 3</t>
  </si>
  <si>
    <t>Q mobile  Sum of AMOUNT 3</t>
  </si>
  <si>
    <t>Realme  Sum of AMOUNT 3</t>
  </si>
  <si>
    <t>Redme note 13 Sum of AMOUNT 3</t>
  </si>
  <si>
    <t>Samsung galaxy Sum of AMOUNT 3</t>
  </si>
  <si>
    <t>Tecno  Sum of AMOUNT 3</t>
  </si>
  <si>
    <t>Vego tel  Sum of AMOUNT 3</t>
  </si>
  <si>
    <t>Vivo Sum of AMOUNT 3</t>
  </si>
  <si>
    <t>Total Sum of AMOUNT 3</t>
  </si>
  <si>
    <t>600 Sum of AMOUNT 3</t>
  </si>
  <si>
    <t>750 Sum of AMOUNT 3</t>
  </si>
  <si>
    <t>80 Sum of AMOUNT 3</t>
  </si>
  <si>
    <t>150 Sum of AMOUNT 3</t>
  </si>
  <si>
    <t>700 Sum of AMOUNT 3</t>
  </si>
  <si>
    <t>350 Sum of AMOUNT 3</t>
  </si>
  <si>
    <t>250 Sum of AMOUNT 3</t>
  </si>
  <si>
    <t>400 Sum of AMOUNT 3</t>
  </si>
  <si>
    <t>320 Sum of AMOUNT 3</t>
  </si>
  <si>
    <t>50 Sum of AMOUNT 3</t>
  </si>
  <si>
    <t>500 Sum of AMOUNT 3</t>
  </si>
  <si>
    <t>20 Sum of AMOUNT 3</t>
  </si>
  <si>
    <t>100 Sum of AMOUNT 3</t>
  </si>
  <si>
    <t>450 Sum of AMOUNT 3</t>
  </si>
  <si>
    <t>200 Sum of AMOUNT 3</t>
  </si>
  <si>
    <t>51000 Sum of AMOUNT 3</t>
  </si>
  <si>
    <t>800000 Sum of AMOUNT 3</t>
  </si>
  <si>
    <t>18000 Sum of AMOUNT 3</t>
  </si>
  <si>
    <t>12000 Sum of AMOUNT 3</t>
  </si>
  <si>
    <t>40000 Sum of AMOUNT 3</t>
  </si>
  <si>
    <t>34999 Sum of AMOUNT 3</t>
  </si>
  <si>
    <t>43000 Sum of AMOUNT 3</t>
  </si>
  <si>
    <t>62000 Sum of AMOUNT 3</t>
  </si>
  <si>
    <t>22800 Sum of AMOUNT 3</t>
  </si>
  <si>
    <t>20000 Sum of AMOUNT 3</t>
  </si>
  <si>
    <t>35999 Sum of AMOUNT 3</t>
  </si>
  <si>
    <t>15 Sum of AMOUNT 3</t>
  </si>
  <si>
    <t>56500 Sum of AMOUNT 3</t>
  </si>
  <si>
    <t>16500 Sum of AMOUNT 3</t>
  </si>
  <si>
    <t>15000 Sum of AMOUNT 3</t>
  </si>
  <si>
    <t>66900 Sum of AMOUNT 3</t>
  </si>
  <si>
    <t>Sum of AMOUNT 3</t>
  </si>
  <si>
    <t xml:space="preserve">482 Sum of AMOUNT </t>
  </si>
  <si>
    <t>482 Sum of RATE</t>
  </si>
  <si>
    <t>482 Sum of AMOUNT 2</t>
  </si>
  <si>
    <t>482 Sum of QUANTITY 2</t>
  </si>
  <si>
    <t>482 Sum of AMOUNT 3</t>
  </si>
  <si>
    <t xml:space="preserve">300 Sum of AMOUNT </t>
  </si>
  <si>
    <t>300 Sum of RATE</t>
  </si>
  <si>
    <t>300 Sum of AMOUNT 2</t>
  </si>
  <si>
    <t>300 Sum of QUANTITY 2</t>
  </si>
  <si>
    <t>300 Sum of AMOUNT 3</t>
  </si>
  <si>
    <t xml:space="preserve">68 Sum of AMOUNT </t>
  </si>
  <si>
    <t>68 Sum of RATE</t>
  </si>
  <si>
    <t>68 Sum of AMOUNT 2</t>
  </si>
  <si>
    <t>68 Sum of QUANTITY 2</t>
  </si>
  <si>
    <t>68 Sum of AMOUNT 3</t>
  </si>
  <si>
    <t xml:space="preserve">582 Sum of AMOUNT </t>
  </si>
  <si>
    <t>582 Sum of RATE</t>
  </si>
  <si>
    <t>582 Sum of AMOUNT 2</t>
  </si>
  <si>
    <t>582 Sum of QUANTITY 2</t>
  </si>
  <si>
    <t>582 Sum of AMOUNT 3</t>
  </si>
  <si>
    <t xml:space="preserve">276 Sum of AMOUNT </t>
  </si>
  <si>
    <t>276 Sum of RATE</t>
  </si>
  <si>
    <t>276 Sum of AMOUNT 2</t>
  </si>
  <si>
    <t>276 Sum of QUANTITY 2</t>
  </si>
  <si>
    <t>276 Sum of AMOUNT 3</t>
  </si>
  <si>
    <t xml:space="preserve">223 Sum of AMOUNT </t>
  </si>
  <si>
    <t>223 Sum of RATE</t>
  </si>
  <si>
    <t>223 Sum of AMOUNT 2</t>
  </si>
  <si>
    <t>223 Sum of QUANTITY 2</t>
  </si>
  <si>
    <t>223 Sum of AMOUNT 3</t>
  </si>
  <si>
    <t xml:space="preserve">280 Sum of AMOUNT </t>
  </si>
  <si>
    <t>280 Sum of RATE</t>
  </si>
  <si>
    <t>280 Sum of AMOUNT 2</t>
  </si>
  <si>
    <t>280 Sum of QUANTITY 2</t>
  </si>
  <si>
    <t>280 Sum of AMOUNT 3</t>
  </si>
  <si>
    <t xml:space="preserve">5 Sum of AMOUNT </t>
  </si>
  <si>
    <t>5 Sum of RATE</t>
  </si>
  <si>
    <t>5 Sum of AMOUNT 2</t>
  </si>
  <si>
    <t>5 Sum of QUANTITY 2</t>
  </si>
  <si>
    <t>5 Sum of AMOUNT 3</t>
  </si>
  <si>
    <t xml:space="preserve">10 Sum of AMOUNT </t>
  </si>
  <si>
    <t>10 Sum of RATE</t>
  </si>
  <si>
    <t>10 Sum of AMOUNT 2</t>
  </si>
  <si>
    <t>10 Sum of QUANTITY 2</t>
  </si>
  <si>
    <t>10 Sum of AMOUNT 3</t>
  </si>
  <si>
    <t xml:space="preserve">30 Sum of AMOUNT </t>
  </si>
  <si>
    <t>30 Sum of RATE</t>
  </si>
  <si>
    <t>30 Sum of AMOUNT 2</t>
  </si>
  <si>
    <t>30 Sum of QUANTITY 2</t>
  </si>
  <si>
    <t>30 Sum of AMOUNT 3</t>
  </si>
  <si>
    <t>23136000 Total</t>
  </si>
  <si>
    <t>210000000 Total</t>
  </si>
  <si>
    <t>1040000 Total</t>
  </si>
  <si>
    <t>884000 Total</t>
  </si>
  <si>
    <t>22698000 Total</t>
  </si>
  <si>
    <t>10460400 Total</t>
  </si>
  <si>
    <t>11149777 Total</t>
  </si>
  <si>
    <t>19227600 Total</t>
  </si>
  <si>
    <t>7500000 Total</t>
  </si>
  <si>
    <t>12000000 Total</t>
  </si>
  <si>
    <t>330565777 Total</t>
  </si>
  <si>
    <t>3000000 Total</t>
  </si>
  <si>
    <t>6400000 Total</t>
  </si>
  <si>
    <t>140000 Total</t>
  </si>
  <si>
    <t>2130000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</si>
</sst>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6"/>
      <color theme="1"/>
      <name val="Algerian"/>
      <family val="5"/>
    </font>
    <font>
      <sz val="11"/>
      <color theme="1"/>
      <name val="Arial Rounded MT Bold"/>
      <family val="2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36"/>
      <color theme="4"/>
      <name val="Algerian"/>
      <family val="5"/>
    </font>
    <font>
      <sz val="11"/>
      <color theme="4"/>
      <name val="Calibri"/>
      <family val="2"/>
      <scheme val="minor"/>
    </font>
    <font>
      <sz val="16"/>
      <color theme="9" tint="-0.499984740745262"/>
      <name val="Algerian"/>
      <family val="5"/>
    </font>
    <font>
      <sz val="16"/>
      <color theme="5" tint="-0.499984740745262"/>
      <name val="Algerian"/>
      <family val="5"/>
    </font>
    <font>
      <sz val="11"/>
      <color theme="7" tint="-0.499984740745262"/>
      <name val="Calibri"/>
      <family val="2"/>
      <scheme val="minor"/>
    </font>
    <font>
      <sz val="16"/>
      <color theme="7" tint="-0.499984740745262"/>
      <name val="Algerian"/>
      <family val="5"/>
    </font>
    <font>
      <sz val="16"/>
      <color rgb="FF7030A0"/>
      <name val="Algerian"/>
      <family val="5"/>
    </font>
    <font>
      <sz val="16"/>
      <color theme="8" tint="-0.249977111117893"/>
      <name val="Algerian"/>
      <family val="5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3A7FF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5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3" fillId="2" borderId="0" xfId="1" applyAlignment="1">
      <alignment horizontal="center"/>
    </xf>
    <xf numFmtId="0" fontId="5" fillId="3" borderId="0" xfId="2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3" fontId="0" fillId="0" borderId="0" xfId="0" applyNumberFormat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  <xf numFmtId="0" fontId="1" fillId="8" borderId="0" xfId="0" applyFont="1" applyFill="1"/>
    <xf numFmtId="0" fontId="8" fillId="5" borderId="0" xfId="0" applyFont="1" applyFill="1"/>
    <xf numFmtId="0" fontId="10" fillId="6" borderId="0" xfId="0" applyFont="1" applyFill="1"/>
    <xf numFmtId="0" fontId="11" fillId="6" borderId="0" xfId="0" applyFont="1" applyFill="1"/>
    <xf numFmtId="0" fontId="9" fillId="7" borderId="0" xfId="0" applyFont="1" applyFill="1"/>
    <xf numFmtId="0" fontId="12" fillId="8" borderId="0" xfId="0" applyFont="1" applyFill="1"/>
    <xf numFmtId="0" fontId="13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6" fillId="4" borderId="0" xfId="0" applyFont="1" applyFill="1"/>
    <xf numFmtId="0" fontId="7" fillId="4" borderId="0" xfId="0" applyFont="1" applyFill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66FF99"/>
      <color rgb="FF00FFFF"/>
      <color rgb="FF66FFFF"/>
      <color rgb="FFCCFFFF"/>
      <color rgb="FFFFCCCC"/>
      <color rgb="FFFF66CC"/>
      <color rgb="FFD3A7FF"/>
      <color rgb="FF33CCFF"/>
      <color rgb="FF993366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CS" refreshedDate="46053.605552546294" createdVersion="8" refreshedVersion="8" minRefreshableVersion="3" recordCount="22" xr:uid="{7C973EB5-244E-4D9B-A104-1BB69002A6B9}">
  <cacheSource type="worksheet">
    <worksheetSource ref="A1:A23" sheet="Sheet1"/>
  </cacheSource>
  <cacheFields count="1">
    <cacheField name="               STOCK IN MANAGEMENT OF 2025" numFmtId="0">
      <sharedItems containsDate="1" containsBlank="1" containsMixedTypes="1" minDate="2025-01-01T00:00:00" maxDate="2025-12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CS" refreshedDate="46053.60924351852" createdVersion="8" refreshedVersion="8" minRefreshableVersion="3" recordCount="16" xr:uid="{72CFEEAC-7D8B-49E9-9192-58BD09A83513}">
  <cacheSource type="worksheet">
    <worksheetSource ref="A6:K22" sheet="Sheet1"/>
  </cacheSource>
  <cacheFields count="13">
    <cacheField name="DATE " numFmtId="14">
      <sharedItems containsSemiMixedTypes="0" containsNonDate="0" containsDate="1" containsString="0" minDate="2025-01-01T00:00:00" maxDate="2025-12-05T00:00:00" count="15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12-02T00:00:00"/>
        <d v="2025-12-03T00:00:00"/>
        <d v="2025-12-04T00:00:00"/>
      </sharedItems>
      <fieldGroup par="12"/>
    </cacheField>
    <cacheField name="S.NO" numFmtId="0">
      <sharedItems containsSemiMixedTypes="0" containsString="0" containsNumber="1" containsInteger="1" minValue="1" maxValue="16" count="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</sharedItems>
    </cacheField>
    <cacheField name="ITEMS " numFmtId="0">
      <sharedItems count="15">
        <s v="Samsung galaxy"/>
        <s v="Redme note 13"/>
        <s v="Oppo A38"/>
        <s v="Vivo"/>
        <s v="Realme "/>
        <s v="Cemon 19"/>
        <s v="Motorola "/>
        <s v="Itel "/>
        <s v="Vego tel "/>
        <s v="Tecno "/>
        <s v="Nokia "/>
        <s v="I phone 17"/>
        <s v="Q mobile "/>
        <s v="One plus "/>
        <s v="Infinix "/>
      </sharedItems>
    </cacheField>
    <cacheField name="QUANTITY " numFmtId="0">
      <sharedItems containsSemiMixedTypes="0" containsString="0" containsNumber="1" containsInteger="1" minValue="20" maxValue="750" count="15">
        <n v="100"/>
        <n v="500"/>
        <n v="400"/>
        <n v="200"/>
        <n v="50"/>
        <n v="600"/>
        <n v="700"/>
        <n v="150"/>
        <n v="20"/>
        <n v="450"/>
        <n v="350"/>
        <n v="750"/>
        <n v="320"/>
        <n v="250"/>
        <n v="80"/>
      </sharedItems>
    </cacheField>
    <cacheField name="RATE " numFmtId="0">
      <sharedItems containsSemiMixedTypes="0" containsString="0" containsNumber="1" containsInteger="1" minValue="15" maxValue="800000" count="16">
        <n v="56500"/>
        <n v="35999"/>
        <n v="62000"/>
        <n v="66900"/>
        <n v="20000"/>
        <n v="51000"/>
        <n v="40000"/>
        <n v="12000"/>
        <n v="15000"/>
        <n v="16500"/>
        <n v="34999"/>
        <n v="800000"/>
        <n v="22800"/>
        <n v="43000"/>
        <n v="18000"/>
        <n v="15"/>
      </sharedItems>
    </cacheField>
    <cacheField name="AMOUNT " numFmtId="0">
      <sharedItems containsSemiMixedTypes="0" containsString="0" containsNumber="1" containsInteger="1" minValue="300000" maxValue="600000000" count="16">
        <n v="5650000"/>
        <n v="17999500"/>
        <n v="24800000"/>
        <n v="13380000"/>
        <n v="1000000"/>
        <n v="30600000"/>
        <n v="28000000"/>
        <n v="1800000"/>
        <n v="300000"/>
        <n v="7425000"/>
        <n v="12249650"/>
        <n v="600000000"/>
        <n v="7296000"/>
        <n v="10750000"/>
        <n v="1440000"/>
        <n v="50846010"/>
      </sharedItems>
    </cacheField>
    <cacheField name="QUATITY " numFmtId="0">
      <sharedItems containsSemiMixedTypes="0" containsString="0" containsNumber="1" containsInteger="1" minValue="5" maxValue="582" count="12">
        <n v="50"/>
        <n v="300"/>
        <n v="280"/>
        <n v="30"/>
        <n v="5"/>
        <n v="482"/>
        <n v="582"/>
        <n v="68"/>
        <n v="10"/>
        <n v="320"/>
        <n v="276"/>
        <n v="223"/>
      </sharedItems>
    </cacheField>
    <cacheField name="RATE" numFmtId="3">
      <sharedItems containsSemiMixedTypes="0" containsString="0" containsNumber="1" containsInteger="1" minValue="13000" maxValue="700000" count="15">
        <n v="60000"/>
        <n v="40000"/>
        <n v="68670"/>
        <n v="71000"/>
        <n v="16000"/>
        <n v="48000"/>
        <n v="39000"/>
        <n v="13000"/>
        <n v="14000"/>
        <n v="20000"/>
        <n v="37900"/>
        <n v="700000"/>
        <n v="25000"/>
        <n v="49999"/>
        <n v="20800"/>
      </sharedItems>
    </cacheField>
    <cacheField name="AMOUNT 2" numFmtId="0">
      <sharedItems containsSemiMixedTypes="0" containsString="0" containsNumber="1" containsInteger="1" minValue="140000" maxValue="330565777" count="16">
        <n v="3000000"/>
        <n v="12000000"/>
        <n v="19227600"/>
        <n v="2130000"/>
        <n v="800000"/>
        <n v="23136000"/>
        <n v="22698000"/>
        <n v="884000"/>
        <n v="140000"/>
        <n v="6400000"/>
        <n v="10460400"/>
        <n v="210000000"/>
        <n v="7500000"/>
        <n v="11149777"/>
        <n v="1040000"/>
        <n v="330565777"/>
      </sharedItems>
    </cacheField>
    <cacheField name="QUANTITY 2" numFmtId="0">
      <sharedItems containsSemiMixedTypes="0" containsString="0" containsNumber="1" containsInteger="1" minValue="10" maxValue="450" count="14">
        <n v="50"/>
        <n v="200"/>
        <n v="120"/>
        <n v="170"/>
        <n v="45"/>
        <n v="118"/>
        <n v="82"/>
        <n v="10"/>
        <n v="130"/>
        <n v="74"/>
        <n v="450"/>
        <n v="20"/>
        <n v="27"/>
        <n v="30"/>
      </sharedItems>
    </cacheField>
    <cacheField name="AMOUNT 3" numFmtId="0">
      <sharedItems containsSemiMixedTypes="0" containsString="0" containsNumber="1" containsInteger="1" minValue="15" maxValue="360000000" count="16">
        <n v="2825000"/>
        <n v="7199800"/>
        <n v="7440000"/>
        <n v="11373000"/>
        <n v="900000"/>
        <n v="6018000"/>
        <n v="4720000"/>
        <n v="984000"/>
        <n v="150000"/>
        <n v="2145000"/>
        <n v="2589926"/>
        <n v="360000000"/>
        <n v="456000"/>
        <n v="1161000"/>
        <n v="540000"/>
        <n v="15"/>
      </sharedItems>
    </cacheField>
    <cacheField name="Days (DATE )" numFmtId="0" databaseField="0">
      <fieldGroup base="0">
        <rangePr groupBy="days" startDate="2025-01-01T00:00:00" endDate="2025-12-05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5/2025"/>
        </groupItems>
      </fieldGroup>
    </cacheField>
    <cacheField name="Months (DATE )" numFmtId="0" databaseField="0">
      <fieldGroup base="0">
        <rangePr groupBy="months" startDate="2025-01-01T00:00:00" endDate="2025-12-05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m/>
  </r>
  <r>
    <m/>
  </r>
  <r>
    <m/>
  </r>
  <r>
    <m/>
  </r>
  <r>
    <s v="DATE "/>
  </r>
  <r>
    <d v="2025-01-01T00:00:00"/>
  </r>
  <r>
    <d v="2025-02-01T00:00:00"/>
  </r>
  <r>
    <d v="2025-03-01T00:00:00"/>
  </r>
  <r>
    <d v="2025-04-01T00:00:00"/>
  </r>
  <r>
    <d v="2025-05-01T00:00:00"/>
  </r>
  <r>
    <d v="2025-06-01T00:00:00"/>
  </r>
  <r>
    <d v="2025-07-01T00:00:00"/>
  </r>
  <r>
    <d v="2025-08-01T00:00:00"/>
  </r>
  <r>
    <d v="2025-09-01T00:00:00"/>
  </r>
  <r>
    <d v="2025-10-01T00:00:00"/>
  </r>
  <r>
    <d v="2025-11-01T00:00:00"/>
  </r>
  <r>
    <d v="2025-12-01T00:00:00"/>
  </r>
  <r>
    <d v="2025-12-02T00:00:00"/>
  </r>
  <r>
    <d v="2025-12-03T00:00:00"/>
  </r>
  <r>
    <d v="2025-12-04T00:00:00"/>
  </r>
  <r>
    <m/>
  </r>
  <r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  <x v="2"/>
  </r>
  <r>
    <x v="3"/>
    <x v="3"/>
    <x v="3"/>
    <x v="3"/>
    <x v="3"/>
    <x v="3"/>
    <x v="3"/>
    <x v="3"/>
    <x v="3"/>
    <x v="3"/>
    <x v="3"/>
  </r>
  <r>
    <x v="4"/>
    <x v="4"/>
    <x v="4"/>
    <x v="4"/>
    <x v="4"/>
    <x v="4"/>
    <x v="4"/>
    <x v="4"/>
    <x v="4"/>
    <x v="4"/>
    <x v="4"/>
  </r>
  <r>
    <x v="5"/>
    <x v="5"/>
    <x v="5"/>
    <x v="5"/>
    <x v="5"/>
    <x v="5"/>
    <x v="5"/>
    <x v="5"/>
    <x v="5"/>
    <x v="5"/>
    <x v="5"/>
  </r>
  <r>
    <x v="6"/>
    <x v="6"/>
    <x v="6"/>
    <x v="6"/>
    <x v="6"/>
    <x v="6"/>
    <x v="6"/>
    <x v="6"/>
    <x v="6"/>
    <x v="5"/>
    <x v="6"/>
  </r>
  <r>
    <x v="7"/>
    <x v="7"/>
    <x v="7"/>
    <x v="7"/>
    <x v="7"/>
    <x v="7"/>
    <x v="7"/>
    <x v="7"/>
    <x v="7"/>
    <x v="6"/>
    <x v="7"/>
  </r>
  <r>
    <x v="8"/>
    <x v="8"/>
    <x v="8"/>
    <x v="8"/>
    <x v="8"/>
    <x v="8"/>
    <x v="8"/>
    <x v="8"/>
    <x v="8"/>
    <x v="7"/>
    <x v="8"/>
  </r>
  <r>
    <x v="9"/>
    <x v="9"/>
    <x v="9"/>
    <x v="9"/>
    <x v="9"/>
    <x v="9"/>
    <x v="9"/>
    <x v="9"/>
    <x v="9"/>
    <x v="8"/>
    <x v="9"/>
  </r>
  <r>
    <x v="10"/>
    <x v="10"/>
    <x v="10"/>
    <x v="10"/>
    <x v="10"/>
    <x v="10"/>
    <x v="10"/>
    <x v="10"/>
    <x v="10"/>
    <x v="9"/>
    <x v="10"/>
  </r>
  <r>
    <x v="11"/>
    <x v="11"/>
    <x v="11"/>
    <x v="11"/>
    <x v="11"/>
    <x v="11"/>
    <x v="1"/>
    <x v="11"/>
    <x v="11"/>
    <x v="10"/>
    <x v="11"/>
  </r>
  <r>
    <x v="12"/>
    <x v="12"/>
    <x v="12"/>
    <x v="12"/>
    <x v="12"/>
    <x v="12"/>
    <x v="1"/>
    <x v="12"/>
    <x v="12"/>
    <x v="11"/>
    <x v="12"/>
  </r>
  <r>
    <x v="13"/>
    <x v="13"/>
    <x v="13"/>
    <x v="13"/>
    <x v="13"/>
    <x v="13"/>
    <x v="11"/>
    <x v="13"/>
    <x v="13"/>
    <x v="12"/>
    <x v="13"/>
  </r>
  <r>
    <x v="14"/>
    <x v="14"/>
    <x v="14"/>
    <x v="14"/>
    <x v="14"/>
    <x v="14"/>
    <x v="0"/>
    <x v="14"/>
    <x v="14"/>
    <x v="13"/>
    <x v="14"/>
  </r>
  <r>
    <x v="11"/>
    <x v="15"/>
    <x v="0"/>
    <x v="8"/>
    <x v="15"/>
    <x v="15"/>
    <x v="6"/>
    <x v="7"/>
    <x v="15"/>
    <x v="10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0ADAE-BFB8-45F6-B80E-E4345647BCE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C48D6-D388-42B9-9563-3D9480F5DAD8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RM25" firstHeaderRow="1" firstDataRow="8" firstDataCol="1"/>
  <pivotFields count="13"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multipleItemSelectionAllowed="1" showAll="0">
      <items count="16">
        <item x="5"/>
        <item x="11"/>
        <item x="14"/>
        <item x="7"/>
        <item x="6"/>
        <item x="10"/>
        <item x="13"/>
        <item x="2"/>
        <item x="12"/>
        <item x="4"/>
        <item x="1"/>
        <item x="0"/>
        <item x="9"/>
        <item x="8"/>
        <item x="3"/>
        <item t="default"/>
      </items>
    </pivotField>
    <pivotField axis="axisCol" multipleItemSelectionAllowed="1" showAll="0">
      <items count="16">
        <item x="8"/>
        <item x="4"/>
        <item x="14"/>
        <item x="0"/>
        <item x="7"/>
        <item x="3"/>
        <item x="13"/>
        <item x="12"/>
        <item x="10"/>
        <item x="2"/>
        <item x="9"/>
        <item x="1"/>
        <item x="5"/>
        <item x="6"/>
        <item x="11"/>
        <item t="default"/>
      </items>
    </pivotField>
    <pivotField axis="axisCol" showAll="0">
      <items count="17">
        <item x="15"/>
        <item x="7"/>
        <item x="8"/>
        <item x="9"/>
        <item x="14"/>
        <item x="4"/>
        <item x="12"/>
        <item x="10"/>
        <item x="1"/>
        <item x="6"/>
        <item x="13"/>
        <item x="5"/>
        <item x="0"/>
        <item x="2"/>
        <item x="3"/>
        <item x="11"/>
        <item t="default"/>
      </items>
    </pivotField>
    <pivotField dataField="1" showAll="0">
      <items count="17">
        <item x="8"/>
        <item x="4"/>
        <item x="14"/>
        <item x="7"/>
        <item x="0"/>
        <item x="12"/>
        <item x="9"/>
        <item x="13"/>
        <item x="10"/>
        <item x="3"/>
        <item x="1"/>
        <item x="2"/>
        <item x="6"/>
        <item x="5"/>
        <item x="15"/>
        <item x="11"/>
        <item t="default"/>
      </items>
    </pivotField>
    <pivotField axis="axisCol" multipleItemSelectionAllowed="1" showAll="0">
      <items count="13">
        <item x="4"/>
        <item x="8"/>
        <item x="3"/>
        <item x="0"/>
        <item x="7"/>
        <item x="11"/>
        <item x="10"/>
        <item x="2"/>
        <item x="1"/>
        <item x="9"/>
        <item x="5"/>
        <item x="6"/>
        <item t="default"/>
      </items>
    </pivotField>
    <pivotField dataField="1" numFmtId="3" showAll="0">
      <items count="16">
        <item x="7"/>
        <item x="8"/>
        <item x="4"/>
        <item x="9"/>
        <item x="14"/>
        <item x="12"/>
        <item x="10"/>
        <item x="6"/>
        <item x="1"/>
        <item x="5"/>
        <item x="13"/>
        <item x="0"/>
        <item x="2"/>
        <item x="3"/>
        <item x="11"/>
        <item t="default"/>
      </items>
    </pivotField>
    <pivotField axis="axisCol" dataField="1" showAll="0">
      <items count="17">
        <item x="8"/>
        <item x="4"/>
        <item x="7"/>
        <item x="14"/>
        <item x="3"/>
        <item x="0"/>
        <item x="9"/>
        <item x="12"/>
        <item x="10"/>
        <item x="13"/>
        <item x="1"/>
        <item x="2"/>
        <item x="6"/>
        <item x="5"/>
        <item x="11"/>
        <item x="15"/>
        <item t="default"/>
      </items>
    </pivotField>
    <pivotField axis="axisCol" dataField="1" showAll="0">
      <items count="15">
        <item x="7"/>
        <item x="11"/>
        <item x="12"/>
        <item x="13"/>
        <item x="4"/>
        <item x="0"/>
        <item x="9"/>
        <item x="6"/>
        <item x="5"/>
        <item x="2"/>
        <item x="8"/>
        <item x="3"/>
        <item x="1"/>
        <item x="10"/>
        <item t="default"/>
      </items>
    </pivotField>
    <pivotField dataField="1" showAll="0">
      <items count="17">
        <item x="15"/>
        <item x="8"/>
        <item x="12"/>
        <item x="14"/>
        <item x="4"/>
        <item x="7"/>
        <item x="13"/>
        <item x="9"/>
        <item x="10"/>
        <item x="0"/>
        <item x="6"/>
        <item x="5"/>
        <item x="1"/>
        <item x="2"/>
        <item x="3"/>
        <item x="11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12"/>
    <field x="11"/>
    <field x="1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7">
    <field x="2"/>
    <field x="3"/>
    <field x="4"/>
    <field x="6"/>
    <field x="-2"/>
    <field x="8"/>
    <field x="9"/>
  </colFields>
  <colItems count="480">
    <i>
      <x/>
      <x v="12"/>
      <x v="11"/>
      <x v="10"/>
      <x/>
      <x v="13"/>
      <x v="8"/>
    </i>
    <i t="default" r="5">
      <x v="13"/>
    </i>
    <i r="4" i="1">
      <x v="1"/>
      <x v="13"/>
      <x v="8"/>
    </i>
    <i t="default" r="5" i="1">
      <x v="13"/>
    </i>
    <i r="4" i="2">
      <x v="2"/>
      <x v="13"/>
      <x v="8"/>
    </i>
    <i t="default" r="5" i="2">
      <x v="13"/>
    </i>
    <i r="4" i="3">
      <x v="3"/>
      <x v="13"/>
      <x v="8"/>
    </i>
    <i t="default" r="5" i="3">
      <x v="13"/>
    </i>
    <i r="4" i="4">
      <x v="4"/>
      <x v="13"/>
      <x v="8"/>
    </i>
    <i t="default" r="5" i="4">
      <x v="13"/>
    </i>
    <i t="default" r="3">
      <x v="10"/>
    </i>
    <i t="default" r="3" i="1">
      <x v="10"/>
    </i>
    <i t="default" r="3" i="2">
      <x v="10"/>
    </i>
    <i t="default" r="3" i="3">
      <x v="10"/>
    </i>
    <i t="default" r="3" i="4">
      <x v="10"/>
    </i>
    <i t="default" r="2">
      <x v="11"/>
    </i>
    <i t="default" r="2" i="1">
      <x v="11"/>
    </i>
    <i t="default" r="2" i="2">
      <x v="11"/>
    </i>
    <i t="default" r="2" i="3">
      <x v="11"/>
    </i>
    <i t="default" r="2" i="4">
      <x v="11"/>
    </i>
    <i t="default" r="1">
      <x v="12"/>
    </i>
    <i t="default" r="1" i="1">
      <x v="12"/>
    </i>
    <i t="default" r="1" i="2">
      <x v="12"/>
    </i>
    <i t="default" r="1" i="3">
      <x v="12"/>
    </i>
    <i t="default" r="1" i="4">
      <x v="12"/>
    </i>
    <i t="default">
      <x/>
    </i>
    <i t="default" i="1">
      <x/>
    </i>
    <i t="default" i="2">
      <x/>
    </i>
    <i t="default" i="3">
      <x/>
    </i>
    <i t="default" i="4">
      <x/>
    </i>
    <i>
      <x v="1"/>
      <x v="14"/>
      <x v="15"/>
      <x v="8"/>
      <x/>
      <x v="14"/>
      <x v="13"/>
    </i>
    <i t="default" r="5">
      <x v="14"/>
    </i>
    <i r="4" i="1">
      <x v="1"/>
      <x v="14"/>
      <x v="13"/>
    </i>
    <i t="default" r="5" i="1">
      <x v="14"/>
    </i>
    <i r="4" i="2">
      <x v="2"/>
      <x v="14"/>
      <x v="13"/>
    </i>
    <i t="default" r="5" i="2">
      <x v="14"/>
    </i>
    <i r="4" i="3">
      <x v="3"/>
      <x v="14"/>
      <x v="13"/>
    </i>
    <i t="default" r="5" i="3">
      <x v="14"/>
    </i>
    <i r="4" i="4">
      <x v="4"/>
      <x v="14"/>
      <x v="13"/>
    </i>
    <i t="default" r="5" i="4">
      <x v="14"/>
    </i>
    <i t="default" r="3">
      <x v="8"/>
    </i>
    <i t="default" r="3" i="1">
      <x v="8"/>
    </i>
    <i t="default" r="3" i="2">
      <x v="8"/>
    </i>
    <i t="default" r="3" i="3">
      <x v="8"/>
    </i>
    <i t="default" r="3" i="4">
      <x v="8"/>
    </i>
    <i t="default" r="2">
      <x v="15"/>
    </i>
    <i t="default" r="2" i="1">
      <x v="15"/>
    </i>
    <i t="default" r="2" i="2">
      <x v="15"/>
    </i>
    <i t="default" r="2" i="3">
      <x v="15"/>
    </i>
    <i t="default" r="2" i="4">
      <x v="15"/>
    </i>
    <i t="default" r="1">
      <x v="14"/>
    </i>
    <i t="default" r="1" i="1">
      <x v="14"/>
    </i>
    <i t="default" r="1" i="2">
      <x v="14"/>
    </i>
    <i t="default" r="1" i="3">
      <x v="14"/>
    </i>
    <i t="default" r="1" i="4">
      <x v="14"/>
    </i>
    <i t="default">
      <x v="1"/>
    </i>
    <i t="default" i="1">
      <x v="1"/>
    </i>
    <i t="default" i="2">
      <x v="1"/>
    </i>
    <i t="default" i="3">
      <x v="1"/>
    </i>
    <i t="default" i="4">
      <x v="1"/>
    </i>
    <i>
      <x v="2"/>
      <x v="2"/>
      <x v="4"/>
      <x v="3"/>
      <x/>
      <x v="3"/>
      <x v="3"/>
    </i>
    <i t="default" r="5">
      <x v="3"/>
    </i>
    <i r="4" i="1">
      <x v="1"/>
      <x v="3"/>
      <x v="3"/>
    </i>
    <i t="default" r="5" i="1">
      <x v="3"/>
    </i>
    <i r="4" i="2">
      <x v="2"/>
      <x v="3"/>
      <x v="3"/>
    </i>
    <i t="default" r="5" i="2">
      <x v="3"/>
    </i>
    <i r="4" i="3">
      <x v="3"/>
      <x v="3"/>
      <x v="3"/>
    </i>
    <i t="default" r="5" i="3">
      <x v="3"/>
    </i>
    <i r="4" i="4">
      <x v="4"/>
      <x v="3"/>
      <x v="3"/>
    </i>
    <i t="default" r="5" i="4">
      <x v="3"/>
    </i>
    <i t="default" r="3">
      <x v="3"/>
    </i>
    <i t="default" r="3" i="1">
      <x v="3"/>
    </i>
    <i t="default" r="3" i="2">
      <x v="3"/>
    </i>
    <i t="default" r="3" i="3">
      <x v="3"/>
    </i>
    <i t="default" r="3" i="4">
      <x v="3"/>
    </i>
    <i t="default" r="2">
      <x v="4"/>
    </i>
    <i t="default" r="2" i="1">
      <x v="4"/>
    </i>
    <i t="default" r="2" i="2">
      <x v="4"/>
    </i>
    <i t="default" r="2" i="3">
      <x v="4"/>
    </i>
    <i t="default" r="2" i="4">
      <x v="4"/>
    </i>
    <i t="default" r="1">
      <x v="2"/>
    </i>
    <i t="default" r="1" i="1">
      <x v="2"/>
    </i>
    <i t="default" r="1" i="2">
      <x v="2"/>
    </i>
    <i t="default" r="1" i="3">
      <x v="2"/>
    </i>
    <i t="default" r="1" i="4">
      <x v="2"/>
    </i>
    <i t="default">
      <x v="2"/>
    </i>
    <i t="default" i="1">
      <x v="2"/>
    </i>
    <i t="default" i="2">
      <x v="2"/>
    </i>
    <i t="default" i="3">
      <x v="2"/>
    </i>
    <i t="default" i="4">
      <x v="2"/>
    </i>
    <i>
      <x v="3"/>
      <x v="4"/>
      <x v="1"/>
      <x v="4"/>
      <x/>
      <x v="2"/>
      <x v="7"/>
    </i>
    <i t="default" r="5">
      <x v="2"/>
    </i>
    <i r="4" i="1">
      <x v="1"/>
      <x v="2"/>
      <x v="7"/>
    </i>
    <i t="default" r="5" i="1">
      <x v="2"/>
    </i>
    <i r="4" i="2">
      <x v="2"/>
      <x v="2"/>
      <x v="7"/>
    </i>
    <i t="default" r="5" i="2">
      <x v="2"/>
    </i>
    <i r="4" i="3">
      <x v="3"/>
      <x v="2"/>
      <x v="7"/>
    </i>
    <i t="default" r="5" i="3">
      <x v="2"/>
    </i>
    <i r="4" i="4">
      <x v="4"/>
      <x v="2"/>
      <x v="7"/>
    </i>
    <i t="default" r="5" i="4">
      <x v="2"/>
    </i>
    <i t="default" r="3">
      <x v="4"/>
    </i>
    <i t="default" r="3" i="1">
      <x v="4"/>
    </i>
    <i t="default" r="3" i="2">
      <x v="4"/>
    </i>
    <i t="default" r="3" i="3">
      <x v="4"/>
    </i>
    <i t="default" r="3" i="4">
      <x v="4"/>
    </i>
    <i t="default" r="2">
      <x v="1"/>
    </i>
    <i t="default" r="2" i="1">
      <x v="1"/>
    </i>
    <i t="default" r="2" i="2">
      <x v="1"/>
    </i>
    <i t="default" r="2" i="3">
      <x v="1"/>
    </i>
    <i t="default" r="2" i="4">
      <x v="1"/>
    </i>
    <i t="default" r="1">
      <x v="4"/>
    </i>
    <i t="default" r="1" i="1">
      <x v="4"/>
    </i>
    <i t="default" r="1" i="2">
      <x v="4"/>
    </i>
    <i t="default" r="1" i="3">
      <x v="4"/>
    </i>
    <i t="default" r="1" i="4">
      <x v="4"/>
    </i>
    <i t="default">
      <x v="3"/>
    </i>
    <i t="default" i="1">
      <x v="3"/>
    </i>
    <i t="default" i="2">
      <x v="3"/>
    </i>
    <i t="default" i="3">
      <x v="3"/>
    </i>
    <i t="default" i="4">
      <x v="3"/>
    </i>
    <i>
      <x v="4"/>
      <x v="13"/>
      <x v="9"/>
      <x v="11"/>
      <x/>
      <x v="12"/>
      <x v="8"/>
    </i>
    <i t="default" r="5">
      <x v="12"/>
    </i>
    <i r="4" i="1">
      <x v="1"/>
      <x v="12"/>
      <x v="8"/>
    </i>
    <i t="default" r="5" i="1">
      <x v="12"/>
    </i>
    <i r="4" i="2">
      <x v="2"/>
      <x v="12"/>
      <x v="8"/>
    </i>
    <i t="default" r="5" i="2">
      <x v="12"/>
    </i>
    <i r="4" i="3">
      <x v="3"/>
      <x v="12"/>
      <x v="8"/>
    </i>
    <i t="default" r="5" i="3">
      <x v="12"/>
    </i>
    <i r="4" i="4">
      <x v="4"/>
      <x v="12"/>
      <x v="8"/>
    </i>
    <i t="default" r="5" i="4">
      <x v="12"/>
    </i>
    <i t="default" r="3">
      <x v="11"/>
    </i>
    <i t="default" r="3" i="1">
      <x v="11"/>
    </i>
    <i t="default" r="3" i="2">
      <x v="11"/>
    </i>
    <i t="default" r="3" i="3">
      <x v="11"/>
    </i>
    <i t="default" r="3" i="4">
      <x v="11"/>
    </i>
    <i t="default" r="2">
      <x v="9"/>
    </i>
    <i t="default" r="2" i="1">
      <x v="9"/>
    </i>
    <i t="default" r="2" i="2">
      <x v="9"/>
    </i>
    <i t="default" r="2" i="3">
      <x v="9"/>
    </i>
    <i t="default" r="2" i="4">
      <x v="9"/>
    </i>
    <i t="default" r="1">
      <x v="13"/>
    </i>
    <i t="default" r="1" i="1">
      <x v="13"/>
    </i>
    <i t="default" r="1" i="2">
      <x v="13"/>
    </i>
    <i t="default" r="1" i="3">
      <x v="13"/>
    </i>
    <i t="default" r="1" i="4">
      <x v="13"/>
    </i>
    <i t="default">
      <x v="4"/>
    </i>
    <i t="default" i="1">
      <x v="4"/>
    </i>
    <i t="default" i="2">
      <x v="4"/>
    </i>
    <i t="default" i="3">
      <x v="4"/>
    </i>
    <i t="default" i="4">
      <x v="4"/>
    </i>
    <i>
      <x v="5"/>
      <x v="8"/>
      <x v="7"/>
      <x v="6"/>
      <x/>
      <x v="8"/>
      <x v="6"/>
    </i>
    <i t="default" r="5">
      <x v="8"/>
    </i>
    <i r="4" i="1">
      <x v="1"/>
      <x v="8"/>
      <x v="6"/>
    </i>
    <i t="default" r="5" i="1">
      <x v="8"/>
    </i>
    <i r="4" i="2">
      <x v="2"/>
      <x v="8"/>
      <x v="6"/>
    </i>
    <i t="default" r="5" i="2">
      <x v="8"/>
    </i>
    <i r="4" i="3">
      <x v="3"/>
      <x v="8"/>
      <x v="6"/>
    </i>
    <i t="default" r="5" i="3">
      <x v="8"/>
    </i>
    <i r="4" i="4">
      <x v="4"/>
      <x v="8"/>
      <x v="6"/>
    </i>
    <i t="default" r="5" i="4">
      <x v="8"/>
    </i>
    <i t="default" r="3">
      <x v="6"/>
    </i>
    <i t="default" r="3" i="1">
      <x v="6"/>
    </i>
    <i t="default" r="3" i="2">
      <x v="6"/>
    </i>
    <i t="default" r="3" i="3">
      <x v="6"/>
    </i>
    <i t="default" r="3" i="4">
      <x v="6"/>
    </i>
    <i t="default" r="2">
      <x v="7"/>
    </i>
    <i t="default" r="2" i="1">
      <x v="7"/>
    </i>
    <i t="default" r="2" i="2">
      <x v="7"/>
    </i>
    <i t="default" r="2" i="3">
      <x v="7"/>
    </i>
    <i t="default" r="2" i="4">
      <x v="7"/>
    </i>
    <i t="default" r="1">
      <x v="8"/>
    </i>
    <i t="default" r="1" i="1">
      <x v="8"/>
    </i>
    <i t="default" r="1" i="2">
      <x v="8"/>
    </i>
    <i t="default" r="1" i="3">
      <x v="8"/>
    </i>
    <i t="default" r="1" i="4">
      <x v="8"/>
    </i>
    <i t="default">
      <x v="5"/>
    </i>
    <i t="default" i="1">
      <x v="5"/>
    </i>
    <i t="default" i="2">
      <x v="5"/>
    </i>
    <i t="default" i="3">
      <x v="5"/>
    </i>
    <i t="default" i="4">
      <x v="5"/>
    </i>
    <i>
      <x v="6"/>
      <x v="6"/>
      <x v="10"/>
      <x v="5"/>
      <x/>
      <x v="9"/>
      <x v="2"/>
    </i>
    <i t="default" r="5">
      <x v="9"/>
    </i>
    <i r="4" i="1">
      <x v="1"/>
      <x v="9"/>
      <x v="2"/>
    </i>
    <i t="default" r="5" i="1">
      <x v="9"/>
    </i>
    <i r="4" i="2">
      <x v="2"/>
      <x v="9"/>
      <x v="2"/>
    </i>
    <i t="default" r="5" i="2">
      <x v="9"/>
    </i>
    <i r="4" i="3">
      <x v="3"/>
      <x v="9"/>
      <x v="2"/>
    </i>
    <i t="default" r="5" i="3">
      <x v="9"/>
    </i>
    <i r="4" i="4">
      <x v="4"/>
      <x v="9"/>
      <x v="2"/>
    </i>
    <i t="default" r="5" i="4">
      <x v="9"/>
    </i>
    <i t="default" r="3">
      <x v="5"/>
    </i>
    <i t="default" r="3" i="1">
      <x v="5"/>
    </i>
    <i t="default" r="3" i="2">
      <x v="5"/>
    </i>
    <i t="default" r="3" i="3">
      <x v="5"/>
    </i>
    <i t="default" r="3" i="4">
      <x v="5"/>
    </i>
    <i t="default" r="2">
      <x v="10"/>
    </i>
    <i t="default" r="2" i="1">
      <x v="10"/>
    </i>
    <i t="default" r="2" i="2">
      <x v="10"/>
    </i>
    <i t="default" r="2" i="3">
      <x v="10"/>
    </i>
    <i t="default" r="2" i="4">
      <x v="10"/>
    </i>
    <i t="default" r="1">
      <x v="6"/>
    </i>
    <i t="default" r="1" i="1">
      <x v="6"/>
    </i>
    <i t="default" r="1" i="2">
      <x v="6"/>
    </i>
    <i t="default" r="1" i="3">
      <x v="6"/>
    </i>
    <i t="default" r="1" i="4">
      <x v="6"/>
    </i>
    <i t="default">
      <x v="6"/>
    </i>
    <i t="default" i="1">
      <x v="6"/>
    </i>
    <i t="default" i="2">
      <x v="6"/>
    </i>
    <i t="default" i="3">
      <x v="6"/>
    </i>
    <i t="default" i="4">
      <x v="6"/>
    </i>
    <i>
      <x v="7"/>
      <x v="9"/>
      <x v="13"/>
      <x v="7"/>
      <x/>
      <x v="11"/>
      <x v="9"/>
    </i>
    <i t="default" r="5">
      <x v="11"/>
    </i>
    <i r="4" i="1">
      <x v="1"/>
      <x v="11"/>
      <x v="9"/>
    </i>
    <i t="default" r="5" i="1">
      <x v="11"/>
    </i>
    <i r="4" i="2">
      <x v="2"/>
      <x v="11"/>
      <x v="9"/>
    </i>
    <i t="default" r="5" i="2">
      <x v="11"/>
    </i>
    <i r="4" i="3">
      <x v="3"/>
      <x v="11"/>
      <x v="9"/>
    </i>
    <i t="default" r="5" i="3">
      <x v="11"/>
    </i>
    <i r="4" i="4">
      <x v="4"/>
      <x v="11"/>
      <x v="9"/>
    </i>
    <i t="default" r="5" i="4">
      <x v="11"/>
    </i>
    <i t="default" r="3">
      <x v="7"/>
    </i>
    <i t="default" r="3" i="1">
      <x v="7"/>
    </i>
    <i t="default" r="3" i="2">
      <x v="7"/>
    </i>
    <i t="default" r="3" i="3">
      <x v="7"/>
    </i>
    <i t="default" r="3" i="4">
      <x v="7"/>
    </i>
    <i t="default" r="2">
      <x v="13"/>
    </i>
    <i t="default" r="2" i="1">
      <x v="13"/>
    </i>
    <i t="default" r="2" i="2">
      <x v="13"/>
    </i>
    <i t="default" r="2" i="3">
      <x v="13"/>
    </i>
    <i t="default" r="2" i="4">
      <x v="13"/>
    </i>
    <i t="default" r="1">
      <x v="9"/>
    </i>
    <i t="default" r="1" i="1">
      <x v="9"/>
    </i>
    <i t="default" r="1" i="2">
      <x v="9"/>
    </i>
    <i t="default" r="1" i="3">
      <x v="9"/>
    </i>
    <i t="default" r="1" i="4">
      <x v="9"/>
    </i>
    <i t="default">
      <x v="7"/>
    </i>
    <i t="default" i="1">
      <x v="7"/>
    </i>
    <i t="default" i="2">
      <x v="7"/>
    </i>
    <i t="default" i="3">
      <x v="7"/>
    </i>
    <i t="default" i="4">
      <x v="7"/>
    </i>
    <i>
      <x v="8"/>
      <x v="7"/>
      <x v="6"/>
      <x v="8"/>
      <x/>
      <x v="7"/>
      <x v="1"/>
    </i>
    <i t="default" r="5">
      <x v="7"/>
    </i>
    <i r="4" i="1">
      <x v="1"/>
      <x v="7"/>
      <x v="1"/>
    </i>
    <i t="default" r="5" i="1">
      <x v="7"/>
    </i>
    <i r="4" i="2">
      <x v="2"/>
      <x v="7"/>
      <x v="1"/>
    </i>
    <i t="default" r="5" i="2">
      <x v="7"/>
    </i>
    <i r="4" i="3">
      <x v="3"/>
      <x v="7"/>
      <x v="1"/>
    </i>
    <i t="default" r="5" i="3">
      <x v="7"/>
    </i>
    <i r="4" i="4">
      <x v="4"/>
      <x v="7"/>
      <x v="1"/>
    </i>
    <i t="default" r="5" i="4">
      <x v="7"/>
    </i>
    <i t="default" r="3">
      <x v="8"/>
    </i>
    <i t="default" r="3" i="1">
      <x v="8"/>
    </i>
    <i t="default" r="3" i="2">
      <x v="8"/>
    </i>
    <i t="default" r="3" i="3">
      <x v="8"/>
    </i>
    <i t="default" r="3" i="4">
      <x v="8"/>
    </i>
    <i t="default" r="2">
      <x v="6"/>
    </i>
    <i t="default" r="2" i="1">
      <x v="6"/>
    </i>
    <i t="default" r="2" i="2">
      <x v="6"/>
    </i>
    <i t="default" r="2" i="3">
      <x v="6"/>
    </i>
    <i t="default" r="2" i="4">
      <x v="6"/>
    </i>
    <i t="default" r="1">
      <x v="7"/>
    </i>
    <i t="default" r="1" i="1">
      <x v="7"/>
    </i>
    <i t="default" r="1" i="2">
      <x v="7"/>
    </i>
    <i t="default" r="1" i="3">
      <x v="7"/>
    </i>
    <i t="default" r="1" i="4">
      <x v="7"/>
    </i>
    <i t="default">
      <x v="8"/>
    </i>
    <i t="default" i="1">
      <x v="8"/>
    </i>
    <i t="default" i="2">
      <x v="8"/>
    </i>
    <i t="default" i="3">
      <x v="8"/>
    </i>
    <i t="default" i="4">
      <x v="8"/>
    </i>
    <i>
      <x v="9"/>
      <x v="1"/>
      <x v="5"/>
      <x/>
      <x/>
      <x v="1"/>
      <x v="4"/>
    </i>
    <i t="default" r="5">
      <x v="1"/>
    </i>
    <i r="4" i="1">
      <x v="1"/>
      <x v="1"/>
      <x v="4"/>
    </i>
    <i t="default" r="5" i="1">
      <x v="1"/>
    </i>
    <i r="4" i="2">
      <x v="2"/>
      <x v="1"/>
      <x v="4"/>
    </i>
    <i t="default" r="5" i="2">
      <x v="1"/>
    </i>
    <i r="4" i="3">
      <x v="3"/>
      <x v="1"/>
      <x v="4"/>
    </i>
    <i t="default" r="5" i="3">
      <x v="1"/>
    </i>
    <i r="4" i="4">
      <x v="4"/>
      <x v="1"/>
      <x v="4"/>
    </i>
    <i t="default" r="5" i="4">
      <x v="1"/>
    </i>
    <i t="default" r="3">
      <x/>
    </i>
    <i t="default" r="3" i="1">
      <x/>
    </i>
    <i t="default" r="3" i="2">
      <x/>
    </i>
    <i t="default" r="3" i="3">
      <x/>
    </i>
    <i t="default" r="3" i="4">
      <x/>
    </i>
    <i t="default" r="2">
      <x v="5"/>
    </i>
    <i t="default" r="2" i="1">
      <x v="5"/>
    </i>
    <i t="default" r="2" i="2">
      <x v="5"/>
    </i>
    <i t="default" r="2" i="3">
      <x v="5"/>
    </i>
    <i t="default" r="2" i="4">
      <x v="5"/>
    </i>
    <i t="default" r="1">
      <x v="1"/>
    </i>
    <i t="default" r="1" i="1">
      <x v="1"/>
    </i>
    <i t="default" r="1" i="2">
      <x v="1"/>
    </i>
    <i t="default" r="1" i="3">
      <x v="1"/>
    </i>
    <i t="default" r="1" i="4">
      <x v="1"/>
    </i>
    <i t="default">
      <x v="9"/>
    </i>
    <i t="default" i="1">
      <x v="9"/>
    </i>
    <i t="default" i="2">
      <x v="9"/>
    </i>
    <i t="default" i="3">
      <x v="9"/>
    </i>
    <i t="default" i="4">
      <x v="9"/>
    </i>
    <i>
      <x v="10"/>
      <x v="11"/>
      <x v="8"/>
      <x v="8"/>
      <x/>
      <x v="10"/>
      <x v="12"/>
    </i>
    <i t="default" r="5">
      <x v="10"/>
    </i>
    <i r="4" i="1">
      <x v="1"/>
      <x v="10"/>
      <x v="12"/>
    </i>
    <i t="default" r="5" i="1">
      <x v="10"/>
    </i>
    <i r="4" i="2">
      <x v="2"/>
      <x v="10"/>
      <x v="12"/>
    </i>
    <i t="default" r="5" i="2">
      <x v="10"/>
    </i>
    <i r="4" i="3">
      <x v="3"/>
      <x v="10"/>
      <x v="12"/>
    </i>
    <i t="default" r="5" i="3">
      <x v="10"/>
    </i>
    <i r="4" i="4">
      <x v="4"/>
      <x v="10"/>
      <x v="12"/>
    </i>
    <i t="default" r="5" i="4">
      <x v="10"/>
    </i>
    <i t="default" r="3">
      <x v="8"/>
    </i>
    <i t="default" r="3" i="1">
      <x v="8"/>
    </i>
    <i t="default" r="3" i="2">
      <x v="8"/>
    </i>
    <i t="default" r="3" i="3">
      <x v="8"/>
    </i>
    <i t="default" r="3" i="4">
      <x v="8"/>
    </i>
    <i t="default" r="2">
      <x v="8"/>
    </i>
    <i t="default" r="2" i="1">
      <x v="8"/>
    </i>
    <i t="default" r="2" i="2">
      <x v="8"/>
    </i>
    <i t="default" r="2" i="3">
      <x v="8"/>
    </i>
    <i t="default" r="2" i="4">
      <x v="8"/>
    </i>
    <i t="default" r="1">
      <x v="11"/>
    </i>
    <i t="default" r="1" i="1">
      <x v="11"/>
    </i>
    <i t="default" r="1" i="2">
      <x v="11"/>
    </i>
    <i t="default" r="1" i="3">
      <x v="11"/>
    </i>
    <i t="default" r="1" i="4">
      <x v="11"/>
    </i>
    <i t="default">
      <x v="10"/>
    </i>
    <i t="default" i="1">
      <x v="10"/>
    </i>
    <i t="default" i="2">
      <x v="10"/>
    </i>
    <i t="default" i="3">
      <x v="10"/>
    </i>
    <i t="default" i="4">
      <x v="10"/>
    </i>
    <i>
      <x v="11"/>
      <x/>
      <x/>
      <x v="11"/>
      <x/>
      <x v="15"/>
      <x v="13"/>
    </i>
    <i t="default" r="5">
      <x v="15"/>
    </i>
    <i r="4" i="1">
      <x v="1"/>
      <x v="15"/>
      <x v="13"/>
    </i>
    <i t="default" r="5" i="1">
      <x v="15"/>
    </i>
    <i r="4" i="2">
      <x v="2"/>
      <x v="15"/>
      <x v="13"/>
    </i>
    <i t="default" r="5" i="2">
      <x v="15"/>
    </i>
    <i r="4" i="3">
      <x v="3"/>
      <x v="15"/>
      <x v="13"/>
    </i>
    <i t="default" r="5" i="3">
      <x v="15"/>
    </i>
    <i r="4" i="4">
      <x v="4"/>
      <x v="15"/>
      <x v="13"/>
    </i>
    <i t="default" r="5" i="4">
      <x v="15"/>
    </i>
    <i t="default" r="3">
      <x v="11"/>
    </i>
    <i t="default" r="3" i="1">
      <x v="11"/>
    </i>
    <i t="default" r="3" i="2">
      <x v="11"/>
    </i>
    <i t="default" r="3" i="3">
      <x v="11"/>
    </i>
    <i t="default" r="3" i="4">
      <x v="11"/>
    </i>
    <i t="default" r="2">
      <x/>
    </i>
    <i t="default" r="2" i="1">
      <x/>
    </i>
    <i t="default" r="2" i="2">
      <x/>
    </i>
    <i t="default" r="2" i="3">
      <x/>
    </i>
    <i t="default" r="2" i="4">
      <x/>
    </i>
    <i t="default" r="1">
      <x/>
    </i>
    <i t="default" r="1" i="1">
      <x/>
    </i>
    <i t="default" r="1" i="2">
      <x/>
    </i>
    <i t="default" r="1" i="3">
      <x/>
    </i>
    <i t="default" r="1" i="4">
      <x/>
    </i>
    <i r="1">
      <x v="3"/>
      <x v="12"/>
      <x v="3"/>
      <x/>
      <x v="5"/>
      <x v="5"/>
    </i>
    <i t="default" r="5">
      <x v="5"/>
    </i>
    <i r="4" i="1">
      <x v="1"/>
      <x v="5"/>
      <x v="5"/>
    </i>
    <i t="default" r="5" i="1">
      <x v="5"/>
    </i>
    <i r="4" i="2">
      <x v="2"/>
      <x v="5"/>
      <x v="5"/>
    </i>
    <i t="default" r="5" i="2">
      <x v="5"/>
    </i>
    <i r="4" i="3">
      <x v="3"/>
      <x v="5"/>
      <x v="5"/>
    </i>
    <i t="default" r="5" i="3">
      <x v="5"/>
    </i>
    <i r="4" i="4">
      <x v="4"/>
      <x v="5"/>
      <x v="5"/>
    </i>
    <i t="default" r="5" i="4">
      <x v="5"/>
    </i>
    <i t="default" r="3">
      <x v="3"/>
    </i>
    <i t="default" r="3" i="1">
      <x v="3"/>
    </i>
    <i t="default" r="3" i="2">
      <x v="3"/>
    </i>
    <i t="default" r="3" i="3">
      <x v="3"/>
    </i>
    <i t="default" r="3" i="4">
      <x v="3"/>
    </i>
    <i t="default" r="2">
      <x v="12"/>
    </i>
    <i t="default" r="2" i="1">
      <x v="12"/>
    </i>
    <i t="default" r="2" i="2">
      <x v="12"/>
    </i>
    <i t="default" r="2" i="3">
      <x v="12"/>
    </i>
    <i t="default" r="2" i="4">
      <x v="12"/>
    </i>
    <i t="default" r="1">
      <x v="3"/>
    </i>
    <i t="default" r="1" i="1">
      <x v="3"/>
    </i>
    <i t="default" r="1" i="2">
      <x v="3"/>
    </i>
    <i t="default" r="1" i="3">
      <x v="3"/>
    </i>
    <i t="default" r="1" i="4">
      <x v="3"/>
    </i>
    <i t="default">
      <x v="11"/>
    </i>
    <i t="default" i="1">
      <x v="11"/>
    </i>
    <i t="default" i="2">
      <x v="11"/>
    </i>
    <i t="default" i="3">
      <x v="11"/>
    </i>
    <i t="default" i="4">
      <x v="11"/>
    </i>
    <i>
      <x v="12"/>
      <x v="10"/>
      <x v="3"/>
      <x v="9"/>
      <x/>
      <x v="6"/>
      <x v="10"/>
    </i>
    <i t="default" r="5">
      <x v="6"/>
    </i>
    <i r="4" i="1">
      <x v="1"/>
      <x v="6"/>
      <x v="10"/>
    </i>
    <i t="default" r="5" i="1">
      <x v="6"/>
    </i>
    <i r="4" i="2">
      <x v="2"/>
      <x v="6"/>
      <x v="10"/>
    </i>
    <i t="default" r="5" i="2">
      <x v="6"/>
    </i>
    <i r="4" i="3">
      <x v="3"/>
      <x v="6"/>
      <x v="10"/>
    </i>
    <i t="default" r="5" i="3">
      <x v="6"/>
    </i>
    <i r="4" i="4">
      <x v="4"/>
      <x v="6"/>
      <x v="10"/>
    </i>
    <i t="default" r="5" i="4">
      <x v="6"/>
    </i>
    <i t="default" r="3">
      <x v="9"/>
    </i>
    <i t="default" r="3" i="1">
      <x v="9"/>
    </i>
    <i t="default" r="3" i="2">
      <x v="9"/>
    </i>
    <i t="default" r="3" i="3">
      <x v="9"/>
    </i>
    <i t="default" r="3" i="4">
      <x v="9"/>
    </i>
    <i t="default" r="2">
      <x v="3"/>
    </i>
    <i t="default" r="2" i="1">
      <x v="3"/>
    </i>
    <i t="default" r="2" i="2">
      <x v="3"/>
    </i>
    <i t="default" r="2" i="3">
      <x v="3"/>
    </i>
    <i t="default" r="2" i="4">
      <x v="3"/>
    </i>
    <i t="default" r="1">
      <x v="10"/>
    </i>
    <i t="default" r="1" i="1">
      <x v="10"/>
    </i>
    <i t="default" r="1" i="2">
      <x v="10"/>
    </i>
    <i t="default" r="1" i="3">
      <x v="10"/>
    </i>
    <i t="default" r="1" i="4">
      <x v="10"/>
    </i>
    <i t="default">
      <x v="12"/>
    </i>
    <i t="default" i="1">
      <x v="12"/>
    </i>
    <i t="default" i="2">
      <x v="12"/>
    </i>
    <i t="default" i="3">
      <x v="12"/>
    </i>
    <i t="default" i="4">
      <x v="12"/>
    </i>
    <i>
      <x v="13"/>
      <x/>
      <x v="2"/>
      <x v="1"/>
      <x/>
      <x/>
      <x/>
    </i>
    <i t="default" r="5">
      <x/>
    </i>
    <i r="4" i="1">
      <x v="1"/>
      <x/>
      <x/>
    </i>
    <i t="default" r="5" i="1">
      <x/>
    </i>
    <i r="4" i="2">
      <x v="2"/>
      <x/>
      <x/>
    </i>
    <i t="default" r="5" i="2">
      <x/>
    </i>
    <i r="4" i="3">
      <x v="3"/>
      <x/>
      <x/>
    </i>
    <i t="default" r="5" i="3">
      <x/>
    </i>
    <i r="4" i="4">
      <x v="4"/>
      <x/>
      <x/>
    </i>
    <i t="default" r="5" i="4">
      <x/>
    </i>
    <i t="default" r="3">
      <x v="1"/>
    </i>
    <i t="default" r="3" i="1">
      <x v="1"/>
    </i>
    <i t="default" r="3" i="2">
      <x v="1"/>
    </i>
    <i t="default" r="3" i="3">
      <x v="1"/>
    </i>
    <i t="default" r="3" i="4">
      <x v="1"/>
    </i>
    <i t="default" r="2">
      <x v="2"/>
    </i>
    <i t="default" r="2" i="1">
      <x v="2"/>
    </i>
    <i t="default" r="2" i="2">
      <x v="2"/>
    </i>
    <i t="default" r="2" i="3">
      <x v="2"/>
    </i>
    <i t="default" r="2" i="4">
      <x v="2"/>
    </i>
    <i t="default" r="1">
      <x/>
    </i>
    <i t="default" r="1" i="1">
      <x/>
    </i>
    <i t="default" r="1" i="2">
      <x/>
    </i>
    <i t="default" r="1" i="3">
      <x/>
    </i>
    <i t="default" r="1" i="4">
      <x/>
    </i>
    <i t="default">
      <x v="13"/>
    </i>
    <i t="default" i="1">
      <x v="13"/>
    </i>
    <i t="default" i="2">
      <x v="13"/>
    </i>
    <i t="default" i="3">
      <x v="13"/>
    </i>
    <i t="default" i="4">
      <x v="13"/>
    </i>
    <i>
      <x v="14"/>
      <x v="5"/>
      <x v="14"/>
      <x v="2"/>
      <x/>
      <x v="4"/>
      <x v="11"/>
    </i>
    <i t="default" r="5">
      <x v="4"/>
    </i>
    <i r="4" i="1">
      <x v="1"/>
      <x v="4"/>
      <x v="11"/>
    </i>
    <i t="default" r="5" i="1">
      <x v="4"/>
    </i>
    <i r="4" i="2">
      <x v="2"/>
      <x v="4"/>
      <x v="11"/>
    </i>
    <i t="default" r="5" i="2">
      <x v="4"/>
    </i>
    <i r="4" i="3">
      <x v="3"/>
      <x v="4"/>
      <x v="11"/>
    </i>
    <i t="default" r="5" i="3">
      <x v="4"/>
    </i>
    <i r="4" i="4">
      <x v="4"/>
      <x v="4"/>
      <x v="11"/>
    </i>
    <i t="default" r="5" i="4">
      <x v="4"/>
    </i>
    <i t="default" r="3">
      <x v="2"/>
    </i>
    <i t="default" r="3" i="1">
      <x v="2"/>
    </i>
    <i t="default" r="3" i="2">
      <x v="2"/>
    </i>
    <i t="default" r="3" i="3">
      <x v="2"/>
    </i>
    <i t="default" r="3" i="4">
      <x v="2"/>
    </i>
    <i t="default" r="2">
      <x v="14"/>
    </i>
    <i t="default" r="2" i="1">
      <x v="14"/>
    </i>
    <i t="default" r="2" i="2">
      <x v="14"/>
    </i>
    <i t="default" r="2" i="3">
      <x v="14"/>
    </i>
    <i t="default" r="2" i="4">
      <x v="14"/>
    </i>
    <i t="default" r="1">
      <x v="5"/>
    </i>
    <i t="default" r="1" i="1">
      <x v="5"/>
    </i>
    <i t="default" r="1" i="2">
      <x v="5"/>
    </i>
    <i t="default" r="1" i="3">
      <x v="5"/>
    </i>
    <i t="default" r="1" i="4">
      <x v="5"/>
    </i>
    <i t="default">
      <x v="14"/>
    </i>
    <i t="default" i="1">
      <x v="14"/>
    </i>
    <i t="default" i="2">
      <x v="14"/>
    </i>
    <i t="default" i="3">
      <x v="14"/>
    </i>
    <i t="default" i="4">
      <x v="14"/>
    </i>
    <i t="grand">
      <x/>
    </i>
    <i t="grand" i="1">
      <x/>
    </i>
    <i t="grand" i="2">
      <x/>
    </i>
    <i t="grand" i="3">
      <x/>
    </i>
    <i t="grand" i="4">
      <x/>
    </i>
  </colItems>
  <dataFields count="5">
    <dataField name="Sum of AMOUNT " fld="5" baseField="0" baseItem="0"/>
    <dataField name="Sum of RATE" fld="7" baseField="0" baseItem="0" numFmtId="3"/>
    <dataField name="Sum of AMOUNT 2" fld="8" baseField="0" baseItem="0"/>
    <dataField name="Sum of QUANTITY 2" fld="9" baseField="0" baseItem="0"/>
    <dataField name="Sum of AMOUNT 3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BF71-852D-43BA-BFCA-C5C2E8B18E6A}">
  <dimension ref="A1"/>
  <sheetViews>
    <sheetView workbookViewId="0">
      <selection activeCell="A3" sqref="A3"/>
    </sheetView>
  </sheetViews>
  <sheetFormatPr defaultRowHeight="14.25" x14ac:dyDescent="0.4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7B53-5F3F-4DFC-8537-CE9366FA155A}">
  <dimension ref="A1"/>
  <sheetViews>
    <sheetView topLeftCell="A4" workbookViewId="0">
      <selection activeCell="A3" sqref="A3"/>
    </sheetView>
  </sheetViews>
  <sheetFormatPr defaultRowHeight="14.25" x14ac:dyDescent="0.4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4B33-F269-45E4-84C9-FF4035780C9F}">
  <dimension ref="A1"/>
  <sheetViews>
    <sheetView workbookViewId="0">
      <selection activeCell="A3" sqref="A3"/>
    </sheetView>
  </sheetViews>
  <sheetFormatPr defaultRowHeight="14.25" x14ac:dyDescent="0.4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3359-027A-4EB9-A5DA-4F122DD44924}">
  <dimension ref="A1"/>
  <sheetViews>
    <sheetView workbookViewId="0">
      <selection activeCell="A3" sqref="A3"/>
    </sheetView>
  </sheetViews>
  <sheetFormatPr defaultRowHeight="14.25" x14ac:dyDescent="0.4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4697-60CD-4B81-9133-A5651EBD90D7}">
  <dimension ref="A3:C20"/>
  <sheetViews>
    <sheetView workbookViewId="0">
      <selection activeCell="F7" sqref="F7"/>
    </sheetView>
  </sheetViews>
  <sheetFormatPr defaultRowHeight="14.25" x14ac:dyDescent="0.45"/>
  <sheetData>
    <row r="3" spans="1:3" x14ac:dyDescent="0.45">
      <c r="A3" s="10"/>
      <c r="B3" s="11"/>
      <c r="C3" s="12"/>
    </row>
    <row r="4" spans="1:3" x14ac:dyDescent="0.45">
      <c r="A4" s="13"/>
      <c r="B4" s="14"/>
      <c r="C4" s="15"/>
    </row>
    <row r="5" spans="1:3" x14ac:dyDescent="0.45">
      <c r="A5" s="13"/>
      <c r="B5" s="14"/>
      <c r="C5" s="15"/>
    </row>
    <row r="6" spans="1:3" x14ac:dyDescent="0.45">
      <c r="A6" s="13"/>
      <c r="B6" s="14"/>
      <c r="C6" s="15"/>
    </row>
    <row r="7" spans="1:3" x14ac:dyDescent="0.45">
      <c r="A7" s="13"/>
      <c r="B7" s="14"/>
      <c r="C7" s="15"/>
    </row>
    <row r="8" spans="1:3" x14ac:dyDescent="0.45">
      <c r="A8" s="13"/>
      <c r="B8" s="14"/>
      <c r="C8" s="15"/>
    </row>
    <row r="9" spans="1:3" x14ac:dyDescent="0.45">
      <c r="A9" s="13"/>
      <c r="B9" s="14"/>
      <c r="C9" s="15"/>
    </row>
    <row r="10" spans="1:3" x14ac:dyDescent="0.45">
      <c r="A10" s="13"/>
      <c r="B10" s="14"/>
      <c r="C10" s="15"/>
    </row>
    <row r="11" spans="1:3" x14ac:dyDescent="0.45">
      <c r="A11" s="13"/>
      <c r="B11" s="14"/>
      <c r="C11" s="15"/>
    </row>
    <row r="12" spans="1:3" x14ac:dyDescent="0.45">
      <c r="A12" s="13"/>
      <c r="B12" s="14"/>
      <c r="C12" s="15"/>
    </row>
    <row r="13" spans="1:3" x14ac:dyDescent="0.45">
      <c r="A13" s="13"/>
      <c r="B13" s="14"/>
      <c r="C13" s="15"/>
    </row>
    <row r="14" spans="1:3" x14ac:dyDescent="0.45">
      <c r="A14" s="13"/>
      <c r="B14" s="14"/>
      <c r="C14" s="15"/>
    </row>
    <row r="15" spans="1:3" x14ac:dyDescent="0.45">
      <c r="A15" s="13"/>
      <c r="B15" s="14"/>
      <c r="C15" s="15"/>
    </row>
    <row r="16" spans="1:3" x14ac:dyDescent="0.45">
      <c r="A16" s="13"/>
      <c r="B16" s="14"/>
      <c r="C16" s="15"/>
    </row>
    <row r="17" spans="1:3" x14ac:dyDescent="0.45">
      <c r="A17" s="13"/>
      <c r="B17" s="14"/>
      <c r="C17" s="15"/>
    </row>
    <row r="18" spans="1:3" x14ac:dyDescent="0.45">
      <c r="A18" s="13"/>
      <c r="B18" s="14"/>
      <c r="C18" s="15"/>
    </row>
    <row r="19" spans="1:3" x14ac:dyDescent="0.45">
      <c r="A19" s="13"/>
      <c r="B19" s="14"/>
      <c r="C19" s="15"/>
    </row>
    <row r="20" spans="1:3" x14ac:dyDescent="0.45">
      <c r="A20" s="16"/>
      <c r="B20" s="17"/>
      <c r="C20" s="18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E906-4C97-48F9-8858-9672F2466943}">
  <dimension ref="A1"/>
  <sheetViews>
    <sheetView workbookViewId="0">
      <selection activeCell="A3" sqref="A3"/>
    </sheetView>
  </sheetViews>
  <sheetFormatPr defaultRowHeight="14.25" x14ac:dyDescent="0.45"/>
  <sheetData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6BEC-DC0C-4DC9-BE2C-E055826D67B2}">
  <dimension ref="A1"/>
  <sheetViews>
    <sheetView workbookViewId="0">
      <selection activeCell="A3" sqref="A3"/>
    </sheetView>
  </sheetViews>
  <sheetFormatPr defaultRowHeight="14.25" x14ac:dyDescent="0.45"/>
  <sheetData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993A-17E3-4AF6-BDF2-CA50157BDE54}">
  <dimension ref="A5:RM25"/>
  <sheetViews>
    <sheetView topLeftCell="A4" workbookViewId="0">
      <selection activeCell="B12" sqref="B12"/>
    </sheetView>
  </sheetViews>
  <sheetFormatPr defaultRowHeight="14.25" x14ac:dyDescent="0.45"/>
  <cols>
    <col min="1" max="1" width="12.06640625" bestFit="1" customWidth="1"/>
    <col min="2" max="2" width="15.1328125" bestFit="1" customWidth="1"/>
    <col min="3" max="3" width="13.33203125" bestFit="1" customWidth="1"/>
    <col min="4" max="4" width="11.06640625" bestFit="1" customWidth="1"/>
    <col min="5" max="5" width="13.33203125" bestFit="1" customWidth="1"/>
    <col min="6" max="6" width="16.1328125" bestFit="1" customWidth="1"/>
    <col min="7" max="7" width="13.33203125" bestFit="1" customWidth="1"/>
    <col min="8" max="8" width="17" bestFit="1" customWidth="1"/>
    <col min="9" max="9" width="13.33203125" bestFit="1" customWidth="1"/>
    <col min="10" max="10" width="16.1328125" bestFit="1" customWidth="1"/>
    <col min="11" max="11" width="13.33203125" bestFit="1" customWidth="1"/>
    <col min="12" max="12" width="18.6640625" bestFit="1" customWidth="1"/>
    <col min="13" max="13" width="14.59765625" bestFit="1" customWidth="1"/>
    <col min="14" max="14" width="19.6640625" bestFit="1" customWidth="1"/>
    <col min="15" max="15" width="20.46484375" bestFit="1" customWidth="1"/>
    <col min="16" max="16" width="19.6640625" bestFit="1" customWidth="1"/>
    <col min="17" max="17" width="20.6640625" bestFit="1" customWidth="1"/>
    <col min="18" max="18" width="16.59765625" bestFit="1" customWidth="1"/>
    <col min="19" max="19" width="21.73046875" bestFit="1" customWidth="1"/>
    <col min="20" max="20" width="22.53125" bestFit="1" customWidth="1"/>
    <col min="21" max="21" width="21.73046875" bestFit="1" customWidth="1"/>
    <col min="22" max="22" width="18.6640625" bestFit="1" customWidth="1"/>
    <col min="23" max="23" width="14.59765625" bestFit="1" customWidth="1"/>
    <col min="24" max="24" width="19.6640625" bestFit="1" customWidth="1"/>
    <col min="25" max="25" width="20.46484375" bestFit="1" customWidth="1"/>
    <col min="26" max="26" width="19.6640625" bestFit="1" customWidth="1"/>
    <col min="27" max="27" width="23.9296875" bestFit="1" customWidth="1"/>
    <col min="28" max="28" width="19.86328125" bestFit="1" customWidth="1"/>
    <col min="29" max="29" width="25" bestFit="1" customWidth="1"/>
    <col min="30" max="30" width="25.796875" bestFit="1" customWidth="1"/>
    <col min="31" max="31" width="25" bestFit="1" customWidth="1"/>
    <col min="32" max="32" width="15.1328125" bestFit="1" customWidth="1"/>
    <col min="33" max="33" width="14.33203125" bestFit="1" customWidth="1"/>
    <col min="34" max="34" width="11.53125" bestFit="1" customWidth="1"/>
    <col min="35" max="35" width="14.33203125" bestFit="1" customWidth="1"/>
    <col min="36" max="36" width="16.1328125" bestFit="1" customWidth="1"/>
    <col min="37" max="37" width="14.33203125" bestFit="1" customWidth="1"/>
    <col min="38" max="38" width="17" bestFit="1" customWidth="1"/>
    <col min="39" max="39" width="14.33203125" bestFit="1" customWidth="1"/>
    <col min="40" max="40" width="16.1328125" bestFit="1" customWidth="1"/>
    <col min="41" max="41" width="14.33203125" bestFit="1" customWidth="1"/>
    <col min="42" max="42" width="18.6640625" bestFit="1" customWidth="1"/>
    <col min="43" max="43" width="14.59765625" bestFit="1" customWidth="1"/>
    <col min="44" max="44" width="19.6640625" bestFit="1" customWidth="1"/>
    <col min="45" max="45" width="20.46484375" bestFit="1" customWidth="1"/>
    <col min="46" max="46" width="19.6640625" bestFit="1" customWidth="1"/>
    <col min="47" max="47" width="21.73046875" bestFit="1" customWidth="1"/>
    <col min="48" max="48" width="17.6640625" bestFit="1" customWidth="1"/>
    <col min="49" max="49" width="22.73046875" bestFit="1" customWidth="1"/>
    <col min="50" max="50" width="23.53125" bestFit="1" customWidth="1"/>
    <col min="51" max="51" width="22.73046875" bestFit="1" customWidth="1"/>
    <col min="52" max="52" width="18.6640625" bestFit="1" customWidth="1"/>
    <col min="53" max="53" width="14.59765625" bestFit="1" customWidth="1"/>
    <col min="54" max="54" width="19.6640625" bestFit="1" customWidth="1"/>
    <col min="55" max="55" width="20.46484375" bestFit="1" customWidth="1"/>
    <col min="56" max="56" width="19.6640625" bestFit="1" customWidth="1"/>
    <col min="57" max="57" width="24.46484375" bestFit="1" customWidth="1"/>
    <col min="58" max="58" width="20.3984375" bestFit="1" customWidth="1"/>
    <col min="59" max="59" width="25.53125" bestFit="1" customWidth="1"/>
    <col min="60" max="60" width="26.33203125" bestFit="1" customWidth="1"/>
    <col min="61" max="61" width="25.53125" bestFit="1" customWidth="1"/>
    <col min="62" max="62" width="15.1328125" bestFit="1" customWidth="1"/>
    <col min="63" max="63" width="12.265625" bestFit="1" customWidth="1"/>
    <col min="64" max="64" width="11.06640625" bestFit="1" customWidth="1"/>
    <col min="65" max="65" width="12.265625" bestFit="1" customWidth="1"/>
    <col min="66" max="66" width="16.1328125" bestFit="1" customWidth="1"/>
    <col min="67" max="67" width="12.265625" bestFit="1" customWidth="1"/>
    <col min="68" max="68" width="17" bestFit="1" customWidth="1"/>
    <col min="69" max="69" width="12.265625" bestFit="1" customWidth="1"/>
    <col min="70" max="70" width="16.1328125" bestFit="1" customWidth="1"/>
    <col min="71" max="71" width="12.265625" bestFit="1" customWidth="1"/>
    <col min="72" max="72" width="17.6640625" bestFit="1" customWidth="1"/>
    <col min="73" max="73" width="13.59765625" bestFit="1" customWidth="1"/>
    <col min="74" max="74" width="18.6640625" bestFit="1" customWidth="1"/>
    <col min="75" max="75" width="19.46484375" bestFit="1" customWidth="1"/>
    <col min="76" max="76" width="18.6640625" bestFit="1" customWidth="1"/>
    <col min="77" max="77" width="20.6640625" bestFit="1" customWidth="1"/>
    <col min="78" max="78" width="16.59765625" bestFit="1" customWidth="1"/>
    <col min="79" max="79" width="21.73046875" bestFit="1" customWidth="1"/>
    <col min="80" max="80" width="22.53125" bestFit="1" customWidth="1"/>
    <col min="81" max="81" width="21.73046875" bestFit="1" customWidth="1"/>
    <col min="82" max="82" width="17.6640625" bestFit="1" customWidth="1"/>
    <col min="83" max="83" width="13.59765625" bestFit="1" customWidth="1"/>
    <col min="84" max="84" width="18.6640625" bestFit="1" customWidth="1"/>
    <col min="85" max="85" width="19.46484375" bestFit="1" customWidth="1"/>
    <col min="86" max="86" width="18.6640625" bestFit="1" customWidth="1"/>
    <col min="87" max="87" width="21.265625" bestFit="1" customWidth="1"/>
    <col min="88" max="88" width="17.19921875" bestFit="1" customWidth="1"/>
    <col min="89" max="89" width="22.265625" bestFit="1" customWidth="1"/>
    <col min="90" max="90" width="23.06640625" bestFit="1" customWidth="1"/>
    <col min="91" max="91" width="22.265625" bestFit="1" customWidth="1"/>
    <col min="92" max="92" width="15.1328125" bestFit="1" customWidth="1"/>
    <col min="93" max="93" width="11.265625" bestFit="1" customWidth="1"/>
    <col min="94" max="94" width="11.06640625" bestFit="1" customWidth="1"/>
    <col min="95" max="95" width="11.265625" bestFit="1" customWidth="1"/>
    <col min="96" max="96" width="16.1328125" bestFit="1" customWidth="1"/>
    <col min="97" max="97" width="11.265625" bestFit="1" customWidth="1"/>
    <col min="98" max="98" width="17" bestFit="1" customWidth="1"/>
    <col min="99" max="99" width="11.265625" bestFit="1" customWidth="1"/>
    <col min="100" max="100" width="16.1328125" bestFit="1" customWidth="1"/>
    <col min="101" max="101" width="11.265625" bestFit="1" customWidth="1"/>
    <col min="102" max="102" width="17.6640625" bestFit="1" customWidth="1"/>
    <col min="103" max="103" width="13.59765625" bestFit="1" customWidth="1"/>
    <col min="104" max="104" width="18.6640625" bestFit="1" customWidth="1"/>
    <col min="105" max="105" width="19.46484375" bestFit="1" customWidth="1"/>
    <col min="106" max="106" width="18.6640625" bestFit="1" customWidth="1"/>
    <col min="107" max="107" width="20.6640625" bestFit="1" customWidth="1"/>
    <col min="108" max="108" width="16.59765625" bestFit="1" customWidth="1"/>
    <col min="109" max="109" width="21.73046875" bestFit="1" customWidth="1"/>
    <col min="110" max="110" width="22.53125" bestFit="1" customWidth="1"/>
    <col min="111" max="111" width="21.73046875" bestFit="1" customWidth="1"/>
    <col min="112" max="112" width="18.6640625" bestFit="1" customWidth="1"/>
    <col min="113" max="113" width="14.59765625" bestFit="1" customWidth="1"/>
    <col min="114" max="114" width="19.6640625" bestFit="1" customWidth="1"/>
    <col min="115" max="115" width="20.46484375" bestFit="1" customWidth="1"/>
    <col min="116" max="116" width="19.6640625" bestFit="1" customWidth="1"/>
    <col min="117" max="117" width="18.796875" bestFit="1" customWidth="1"/>
    <col min="118" max="118" width="14.73046875" bestFit="1" customWidth="1"/>
    <col min="119" max="119" width="19.796875" bestFit="1" customWidth="1"/>
    <col min="120" max="120" width="20.59765625" bestFit="1" customWidth="1"/>
    <col min="121" max="121" width="19.796875" bestFit="1" customWidth="1"/>
    <col min="122" max="122" width="15.1328125" bestFit="1" customWidth="1"/>
    <col min="123" max="123" width="13.33203125" bestFit="1" customWidth="1"/>
    <col min="124" max="124" width="11.06640625" bestFit="1" customWidth="1"/>
    <col min="125" max="125" width="13.33203125" bestFit="1" customWidth="1"/>
    <col min="126" max="126" width="16.1328125" bestFit="1" customWidth="1"/>
    <col min="127" max="127" width="13.33203125" bestFit="1" customWidth="1"/>
    <col min="128" max="128" width="17" bestFit="1" customWidth="1"/>
    <col min="129" max="129" width="13.33203125" bestFit="1" customWidth="1"/>
    <col min="130" max="130" width="16.1328125" bestFit="1" customWidth="1"/>
    <col min="131" max="131" width="13.33203125" bestFit="1" customWidth="1"/>
    <col min="132" max="132" width="18.6640625" bestFit="1" customWidth="1"/>
    <col min="133" max="133" width="14.59765625" bestFit="1" customWidth="1"/>
    <col min="134" max="134" width="19.6640625" bestFit="1" customWidth="1"/>
    <col min="135" max="135" width="20.46484375" bestFit="1" customWidth="1"/>
    <col min="136" max="136" width="19.6640625" bestFit="1" customWidth="1"/>
    <col min="137" max="137" width="20.6640625" bestFit="1" customWidth="1"/>
    <col min="138" max="138" width="16.59765625" bestFit="1" customWidth="1"/>
    <col min="139" max="139" width="21.73046875" bestFit="1" customWidth="1"/>
    <col min="140" max="140" width="22.53125" bestFit="1" customWidth="1"/>
    <col min="141" max="141" width="21.73046875" bestFit="1" customWidth="1"/>
    <col min="142" max="142" width="18.6640625" bestFit="1" customWidth="1"/>
    <col min="143" max="143" width="14.59765625" bestFit="1" customWidth="1"/>
    <col min="144" max="144" width="19.6640625" bestFit="1" customWidth="1"/>
    <col min="145" max="145" width="20.46484375" bestFit="1" customWidth="1"/>
    <col min="146" max="146" width="19.6640625" bestFit="1" customWidth="1"/>
    <col min="147" max="147" width="23.796875" bestFit="1" customWidth="1"/>
    <col min="148" max="148" width="19.73046875" bestFit="1" customWidth="1"/>
    <col min="149" max="149" width="24.796875" bestFit="1" customWidth="1"/>
    <col min="150" max="150" width="25.6640625" bestFit="1" customWidth="1"/>
    <col min="151" max="151" width="24.796875" bestFit="1" customWidth="1"/>
    <col min="152" max="152" width="15.1328125" bestFit="1" customWidth="1"/>
    <col min="153" max="153" width="13.33203125" bestFit="1" customWidth="1"/>
    <col min="154" max="154" width="11.06640625" bestFit="1" customWidth="1"/>
    <col min="155" max="155" width="13.33203125" bestFit="1" customWidth="1"/>
    <col min="156" max="156" width="16.1328125" bestFit="1" customWidth="1"/>
    <col min="157" max="157" width="13.33203125" bestFit="1" customWidth="1"/>
    <col min="158" max="158" width="17" bestFit="1" customWidth="1"/>
    <col min="159" max="159" width="13.33203125" bestFit="1" customWidth="1"/>
    <col min="160" max="160" width="16.1328125" bestFit="1" customWidth="1"/>
    <col min="161" max="161" width="13.33203125" bestFit="1" customWidth="1"/>
    <col min="162" max="162" width="18.6640625" bestFit="1" customWidth="1"/>
    <col min="163" max="163" width="14.59765625" bestFit="1" customWidth="1"/>
    <col min="164" max="164" width="19.6640625" bestFit="1" customWidth="1"/>
    <col min="165" max="165" width="20.46484375" bestFit="1" customWidth="1"/>
    <col min="166" max="166" width="19.6640625" bestFit="1" customWidth="1"/>
    <col min="167" max="167" width="20.6640625" bestFit="1" customWidth="1"/>
    <col min="168" max="168" width="16.59765625" bestFit="1" customWidth="1"/>
    <col min="169" max="169" width="21.73046875" bestFit="1" customWidth="1"/>
    <col min="170" max="170" width="22.53125" bestFit="1" customWidth="1"/>
    <col min="171" max="171" width="21.73046875" bestFit="1" customWidth="1"/>
    <col min="172" max="172" width="18.6640625" bestFit="1" customWidth="1"/>
    <col min="173" max="173" width="14.59765625" bestFit="1" customWidth="1"/>
    <col min="174" max="174" width="19.6640625" bestFit="1" customWidth="1"/>
    <col min="175" max="175" width="20.46484375" bestFit="1" customWidth="1"/>
    <col min="176" max="176" width="19.6640625" bestFit="1" customWidth="1"/>
    <col min="177" max="177" width="20.796875" bestFit="1" customWidth="1"/>
    <col min="178" max="178" width="16.73046875" bestFit="1" customWidth="1"/>
    <col min="179" max="179" width="21.86328125" bestFit="1" customWidth="1"/>
    <col min="180" max="180" width="22.6640625" bestFit="1" customWidth="1"/>
    <col min="181" max="181" width="21.86328125" bestFit="1" customWidth="1"/>
    <col min="182" max="182" width="15.1328125" bestFit="1" customWidth="1"/>
    <col min="183" max="183" width="13.33203125" bestFit="1" customWidth="1"/>
    <col min="184" max="184" width="11.06640625" bestFit="1" customWidth="1"/>
    <col min="185" max="185" width="13.33203125" bestFit="1" customWidth="1"/>
    <col min="186" max="186" width="16.1328125" bestFit="1" customWidth="1"/>
    <col min="187" max="187" width="13.33203125" bestFit="1" customWidth="1"/>
    <col min="188" max="188" width="17" bestFit="1" customWidth="1"/>
    <col min="189" max="189" width="13.33203125" bestFit="1" customWidth="1"/>
    <col min="190" max="190" width="16.1328125" bestFit="1" customWidth="1"/>
    <col min="191" max="191" width="13.33203125" bestFit="1" customWidth="1"/>
    <col min="192" max="192" width="18.6640625" bestFit="1" customWidth="1"/>
    <col min="193" max="193" width="14.59765625" bestFit="1" customWidth="1"/>
    <col min="194" max="194" width="19.6640625" bestFit="1" customWidth="1"/>
    <col min="195" max="195" width="20.46484375" bestFit="1" customWidth="1"/>
    <col min="196" max="196" width="19.6640625" bestFit="1" customWidth="1"/>
    <col min="197" max="197" width="20.6640625" bestFit="1" customWidth="1"/>
    <col min="198" max="198" width="16.59765625" bestFit="1" customWidth="1"/>
    <col min="199" max="199" width="21.73046875" bestFit="1" customWidth="1"/>
    <col min="200" max="200" width="22.53125" bestFit="1" customWidth="1"/>
    <col min="201" max="201" width="21.73046875" bestFit="1" customWidth="1"/>
    <col min="202" max="202" width="18.6640625" bestFit="1" customWidth="1"/>
    <col min="203" max="203" width="14.59765625" bestFit="1" customWidth="1"/>
    <col min="204" max="204" width="19.6640625" bestFit="1" customWidth="1"/>
    <col min="205" max="205" width="20.46484375" bestFit="1" customWidth="1"/>
    <col min="206" max="206" width="19.6640625" bestFit="1" customWidth="1"/>
    <col min="207" max="207" width="23.46484375" bestFit="1" customWidth="1"/>
    <col min="208" max="208" width="19.3984375" bestFit="1" customWidth="1"/>
    <col min="209" max="209" width="24.46484375" bestFit="1" customWidth="1"/>
    <col min="210" max="210" width="25.33203125" bestFit="1" customWidth="1"/>
    <col min="211" max="211" width="24.46484375" bestFit="1" customWidth="1"/>
    <col min="212" max="212" width="15.1328125" bestFit="1" customWidth="1"/>
    <col min="213" max="213" width="13.33203125" bestFit="1" customWidth="1"/>
    <col min="214" max="214" width="11.06640625" bestFit="1" customWidth="1"/>
    <col min="215" max="215" width="13.33203125" bestFit="1" customWidth="1"/>
    <col min="216" max="216" width="16.1328125" bestFit="1" customWidth="1"/>
    <col min="217" max="217" width="13.33203125" bestFit="1" customWidth="1"/>
    <col min="218" max="218" width="17" bestFit="1" customWidth="1"/>
    <col min="219" max="219" width="13.33203125" bestFit="1" customWidth="1"/>
    <col min="220" max="220" width="16.1328125" bestFit="1" customWidth="1"/>
    <col min="221" max="221" width="13.33203125" bestFit="1" customWidth="1"/>
    <col min="222" max="222" width="18.6640625" bestFit="1" customWidth="1"/>
    <col min="223" max="223" width="14.59765625" bestFit="1" customWidth="1"/>
    <col min="224" max="224" width="19.6640625" bestFit="1" customWidth="1"/>
    <col min="225" max="225" width="20.46484375" bestFit="1" customWidth="1"/>
    <col min="226" max="226" width="19.6640625" bestFit="1" customWidth="1"/>
    <col min="227" max="227" width="20.6640625" bestFit="1" customWidth="1"/>
    <col min="228" max="228" width="16.59765625" bestFit="1" customWidth="1"/>
    <col min="229" max="229" width="21.73046875" bestFit="1" customWidth="1"/>
    <col min="230" max="230" width="22.53125" bestFit="1" customWidth="1"/>
    <col min="231" max="231" width="21.73046875" bestFit="1" customWidth="1"/>
    <col min="232" max="232" width="18.6640625" bestFit="1" customWidth="1"/>
    <col min="233" max="233" width="14.59765625" bestFit="1" customWidth="1"/>
    <col min="234" max="234" width="19.6640625" bestFit="1" customWidth="1"/>
    <col min="235" max="235" width="20.46484375" bestFit="1" customWidth="1"/>
    <col min="236" max="236" width="19.6640625" bestFit="1" customWidth="1"/>
    <col min="237" max="237" width="23.9296875" bestFit="1" customWidth="1"/>
    <col min="238" max="238" width="19.86328125" bestFit="1" customWidth="1"/>
    <col min="239" max="239" width="25" bestFit="1" customWidth="1"/>
    <col min="240" max="240" width="25.796875" bestFit="1" customWidth="1"/>
    <col min="241" max="241" width="25" bestFit="1" customWidth="1"/>
    <col min="242" max="242" width="15.1328125" bestFit="1" customWidth="1"/>
    <col min="243" max="243" width="12.265625" bestFit="1" customWidth="1"/>
    <col min="244" max="244" width="11.06640625" bestFit="1" customWidth="1"/>
    <col min="245" max="245" width="12.265625" bestFit="1" customWidth="1"/>
    <col min="246" max="246" width="16.1328125" bestFit="1" customWidth="1"/>
    <col min="247" max="247" width="12.265625" bestFit="1" customWidth="1"/>
    <col min="248" max="248" width="17" bestFit="1" customWidth="1"/>
    <col min="249" max="249" width="12.265625" bestFit="1" customWidth="1"/>
    <col min="250" max="250" width="16.1328125" bestFit="1" customWidth="1"/>
    <col min="251" max="251" width="12.265625" bestFit="1" customWidth="1"/>
    <col min="252" max="252" width="18.6640625" bestFit="1" customWidth="1"/>
    <col min="253" max="253" width="14.59765625" bestFit="1" customWidth="1"/>
    <col min="254" max="254" width="19.6640625" bestFit="1" customWidth="1"/>
    <col min="255" max="255" width="20.46484375" bestFit="1" customWidth="1"/>
    <col min="256" max="256" width="19.6640625" bestFit="1" customWidth="1"/>
    <col min="257" max="257" width="20.6640625" bestFit="1" customWidth="1"/>
    <col min="258" max="258" width="16.59765625" bestFit="1" customWidth="1"/>
    <col min="259" max="259" width="21.73046875" bestFit="1" customWidth="1"/>
    <col min="260" max="260" width="22.53125" bestFit="1" customWidth="1"/>
    <col min="261" max="261" width="21.73046875" bestFit="1" customWidth="1"/>
    <col min="262" max="262" width="18.6640625" bestFit="1" customWidth="1"/>
    <col min="263" max="263" width="14.59765625" bestFit="1" customWidth="1"/>
    <col min="264" max="264" width="19.6640625" bestFit="1" customWidth="1"/>
    <col min="265" max="265" width="20.46484375" bestFit="1" customWidth="1"/>
    <col min="266" max="266" width="19.6640625" bestFit="1" customWidth="1"/>
    <col min="267" max="267" width="23.6640625" bestFit="1" customWidth="1"/>
    <col min="268" max="268" width="19.59765625" bestFit="1" customWidth="1"/>
    <col min="269" max="269" width="24.6640625" bestFit="1" customWidth="1"/>
    <col min="270" max="270" width="25.53125" bestFit="1" customWidth="1"/>
    <col min="271" max="271" width="24.6640625" bestFit="1" customWidth="1"/>
    <col min="272" max="272" width="15.1328125" bestFit="1" customWidth="1"/>
    <col min="273" max="273" width="11.265625" bestFit="1" customWidth="1"/>
    <col min="274" max="274" width="11.06640625" bestFit="1" customWidth="1"/>
    <col min="275" max="275" width="11.265625" bestFit="1" customWidth="1"/>
    <col min="276" max="276" width="16.1328125" bestFit="1" customWidth="1"/>
    <col min="277" max="277" width="11.265625" bestFit="1" customWidth="1"/>
    <col min="278" max="278" width="17" bestFit="1" customWidth="1"/>
    <col min="279" max="279" width="11.265625" bestFit="1" customWidth="1"/>
    <col min="280" max="280" width="16.1328125" bestFit="1" customWidth="1"/>
    <col min="281" max="281" width="11.265625" bestFit="1" customWidth="1"/>
    <col min="282" max="282" width="16.59765625" bestFit="1" customWidth="1"/>
    <col min="283" max="283" width="12.53125" bestFit="1" customWidth="1"/>
    <col min="284" max="284" width="17.6640625" bestFit="1" customWidth="1"/>
    <col min="285" max="285" width="18.46484375" bestFit="1" customWidth="1"/>
    <col min="286" max="286" width="17.6640625" bestFit="1" customWidth="1"/>
    <col min="287" max="287" width="20.6640625" bestFit="1" customWidth="1"/>
    <col min="288" max="288" width="16.59765625" bestFit="1" customWidth="1"/>
    <col min="289" max="289" width="21.73046875" bestFit="1" customWidth="1"/>
    <col min="290" max="290" width="22.53125" bestFit="1" customWidth="1"/>
    <col min="291" max="291" width="21.73046875" bestFit="1" customWidth="1"/>
    <col min="292" max="292" width="17.6640625" bestFit="1" customWidth="1"/>
    <col min="293" max="293" width="13.59765625" bestFit="1" customWidth="1"/>
    <col min="294" max="294" width="18.6640625" bestFit="1" customWidth="1"/>
    <col min="295" max="295" width="19.46484375" bestFit="1" customWidth="1"/>
    <col min="296" max="296" width="18.6640625" bestFit="1" customWidth="1"/>
    <col min="297" max="297" width="22.265625" bestFit="1" customWidth="1"/>
    <col min="298" max="298" width="18.19921875" bestFit="1" customWidth="1"/>
    <col min="299" max="299" width="23.265625" bestFit="1" customWidth="1"/>
    <col min="300" max="300" width="24.06640625" bestFit="1" customWidth="1"/>
    <col min="301" max="301" width="23.265625" bestFit="1" customWidth="1"/>
    <col min="302" max="302" width="15.1328125" bestFit="1" customWidth="1"/>
    <col min="303" max="303" width="13.33203125" bestFit="1" customWidth="1"/>
    <col min="304" max="304" width="11.06640625" bestFit="1" customWidth="1"/>
    <col min="305" max="305" width="13.33203125" bestFit="1" customWidth="1"/>
    <col min="306" max="306" width="16.1328125" bestFit="1" customWidth="1"/>
    <col min="307" max="307" width="13.33203125" bestFit="1" customWidth="1"/>
    <col min="308" max="308" width="17" bestFit="1" customWidth="1"/>
    <col min="309" max="309" width="13.33203125" bestFit="1" customWidth="1"/>
    <col min="310" max="310" width="16.1328125" bestFit="1" customWidth="1"/>
    <col min="311" max="311" width="13.33203125" bestFit="1" customWidth="1"/>
    <col min="312" max="312" width="18.6640625" bestFit="1" customWidth="1"/>
    <col min="313" max="313" width="14.59765625" bestFit="1" customWidth="1"/>
    <col min="314" max="314" width="19.6640625" bestFit="1" customWidth="1"/>
    <col min="315" max="315" width="20.46484375" bestFit="1" customWidth="1"/>
    <col min="316" max="316" width="19.6640625" bestFit="1" customWidth="1"/>
    <col min="317" max="317" width="20.6640625" bestFit="1" customWidth="1"/>
    <col min="318" max="318" width="16.59765625" bestFit="1" customWidth="1"/>
    <col min="319" max="319" width="21.73046875" bestFit="1" customWidth="1"/>
    <col min="320" max="320" width="22.53125" bestFit="1" customWidth="1"/>
    <col min="321" max="321" width="21.73046875" bestFit="1" customWidth="1"/>
    <col min="322" max="322" width="18.6640625" bestFit="1" customWidth="1"/>
    <col min="323" max="323" width="14.59765625" bestFit="1" customWidth="1"/>
    <col min="324" max="324" width="19.6640625" bestFit="1" customWidth="1"/>
    <col min="325" max="325" width="20.46484375" bestFit="1" customWidth="1"/>
    <col min="326" max="326" width="19.6640625" bestFit="1" customWidth="1"/>
    <col min="327" max="327" width="28.265625" bestFit="1" customWidth="1"/>
    <col min="328" max="328" width="24.19921875" bestFit="1" customWidth="1"/>
    <col min="329" max="329" width="29.33203125" bestFit="1" customWidth="1"/>
    <col min="330" max="330" width="30.1328125" bestFit="1" customWidth="1"/>
    <col min="331" max="331" width="29.33203125" bestFit="1" customWidth="1"/>
    <col min="332" max="332" width="15.46484375" bestFit="1" customWidth="1"/>
    <col min="333" max="333" width="14.33203125" bestFit="1" customWidth="1"/>
    <col min="334" max="334" width="11.53125" bestFit="1" customWidth="1"/>
    <col min="335" max="335" width="14.33203125" bestFit="1" customWidth="1"/>
    <col min="336" max="336" width="16.1328125" bestFit="1" customWidth="1"/>
    <col min="337" max="337" width="14.33203125" bestFit="1" customWidth="1"/>
    <col min="338" max="338" width="17" bestFit="1" customWidth="1"/>
    <col min="339" max="339" width="14.33203125" bestFit="1" customWidth="1"/>
    <col min="340" max="340" width="16.1328125" bestFit="1" customWidth="1"/>
    <col min="341" max="341" width="14.33203125" bestFit="1" customWidth="1"/>
    <col min="342" max="342" width="18.6640625" bestFit="1" customWidth="1"/>
    <col min="343" max="343" width="14.59765625" bestFit="1" customWidth="1"/>
    <col min="344" max="344" width="19.6640625" bestFit="1" customWidth="1"/>
    <col min="345" max="345" width="20.46484375" bestFit="1" customWidth="1"/>
    <col min="346" max="346" width="19.6640625" bestFit="1" customWidth="1"/>
    <col min="347" max="347" width="17.6640625" bestFit="1" customWidth="1"/>
    <col min="348" max="348" width="13.59765625" bestFit="1" customWidth="1"/>
    <col min="349" max="349" width="18.6640625" bestFit="1" customWidth="1"/>
    <col min="350" max="350" width="19.46484375" bestFit="1" customWidth="1"/>
    <col min="351" max="351" width="18.6640625" bestFit="1" customWidth="1"/>
    <col min="352" max="352" width="17.6640625" bestFit="1" customWidth="1"/>
    <col min="353" max="353" width="13.59765625" bestFit="1" customWidth="1"/>
    <col min="354" max="354" width="18.6640625" bestFit="1" customWidth="1"/>
    <col min="355" max="355" width="19.46484375" bestFit="1" customWidth="1"/>
    <col min="356" max="356" width="18.6640625" bestFit="1" customWidth="1"/>
    <col min="357" max="357" width="15.1328125" bestFit="1" customWidth="1"/>
    <col min="358" max="358" width="12.265625" bestFit="1" customWidth="1"/>
    <col min="359" max="359" width="11.06640625" bestFit="1" customWidth="1"/>
    <col min="360" max="360" width="12.265625" bestFit="1" customWidth="1"/>
    <col min="361" max="361" width="16.1328125" bestFit="1" customWidth="1"/>
    <col min="362" max="362" width="12.265625" bestFit="1" customWidth="1"/>
    <col min="363" max="363" width="17" bestFit="1" customWidth="1"/>
    <col min="364" max="364" width="12.265625" bestFit="1" customWidth="1"/>
    <col min="365" max="365" width="16.1328125" bestFit="1" customWidth="1"/>
    <col min="366" max="366" width="12.265625" bestFit="1" customWidth="1"/>
    <col min="367" max="367" width="17.6640625" bestFit="1" customWidth="1"/>
    <col min="368" max="368" width="13.59765625" bestFit="1" customWidth="1"/>
    <col min="369" max="369" width="18.6640625" bestFit="1" customWidth="1"/>
    <col min="370" max="370" width="19.46484375" bestFit="1" customWidth="1"/>
    <col min="371" max="371" width="18.6640625" bestFit="1" customWidth="1"/>
    <col min="372" max="372" width="20.6640625" bestFit="1" customWidth="1"/>
    <col min="373" max="373" width="16.59765625" bestFit="1" customWidth="1"/>
    <col min="374" max="374" width="21.73046875" bestFit="1" customWidth="1"/>
    <col min="375" max="375" width="22.53125" bestFit="1" customWidth="1"/>
    <col min="376" max="376" width="21.73046875" bestFit="1" customWidth="1"/>
    <col min="377" max="377" width="18.6640625" bestFit="1" customWidth="1"/>
    <col min="378" max="378" width="14.59765625" bestFit="1" customWidth="1"/>
    <col min="379" max="379" width="19.6640625" bestFit="1" customWidth="1"/>
    <col min="380" max="380" width="20.46484375" bestFit="1" customWidth="1"/>
    <col min="381" max="381" width="19.6640625" bestFit="1" customWidth="1"/>
    <col min="382" max="382" width="28.6640625" bestFit="1" customWidth="1"/>
    <col min="383" max="383" width="24.59765625" bestFit="1" customWidth="1"/>
    <col min="384" max="384" width="29.73046875" bestFit="1" customWidth="1"/>
    <col min="385" max="385" width="30.53125" bestFit="1" customWidth="1"/>
    <col min="386" max="386" width="29.73046875" bestFit="1" customWidth="1"/>
    <col min="387" max="387" width="15.1328125" bestFit="1" customWidth="1"/>
    <col min="388" max="388" width="12.265625" bestFit="1" customWidth="1"/>
    <col min="389" max="389" width="11.06640625" bestFit="1" customWidth="1"/>
    <col min="390" max="390" width="12.265625" bestFit="1" customWidth="1"/>
    <col min="391" max="391" width="16.1328125" bestFit="1" customWidth="1"/>
    <col min="392" max="392" width="12.265625" bestFit="1" customWidth="1"/>
    <col min="393" max="393" width="17" bestFit="1" customWidth="1"/>
    <col min="394" max="394" width="12.265625" bestFit="1" customWidth="1"/>
    <col min="395" max="395" width="16.1328125" bestFit="1" customWidth="1"/>
    <col min="396" max="396" width="12.265625" bestFit="1" customWidth="1"/>
    <col min="397" max="397" width="18.6640625" bestFit="1" customWidth="1"/>
    <col min="398" max="398" width="14.59765625" bestFit="1" customWidth="1"/>
    <col min="399" max="399" width="19.6640625" bestFit="1" customWidth="1"/>
    <col min="400" max="400" width="20.46484375" bestFit="1" customWidth="1"/>
    <col min="401" max="401" width="19.6640625" bestFit="1" customWidth="1"/>
    <col min="402" max="402" width="20.6640625" bestFit="1" customWidth="1"/>
    <col min="403" max="403" width="16.59765625" bestFit="1" customWidth="1"/>
    <col min="404" max="404" width="21.73046875" bestFit="1" customWidth="1"/>
    <col min="405" max="405" width="22.53125" bestFit="1" customWidth="1"/>
    <col min="406" max="406" width="21.73046875" bestFit="1" customWidth="1"/>
    <col min="407" max="407" width="18.6640625" bestFit="1" customWidth="1"/>
    <col min="408" max="408" width="14.59765625" bestFit="1" customWidth="1"/>
    <col min="409" max="409" width="19.6640625" bestFit="1" customWidth="1"/>
    <col min="410" max="410" width="20.46484375" bestFit="1" customWidth="1"/>
    <col min="411" max="411" width="19.6640625" bestFit="1" customWidth="1"/>
    <col min="412" max="412" width="21.06640625" bestFit="1" customWidth="1"/>
    <col min="413" max="413" width="17" bestFit="1" customWidth="1"/>
    <col min="414" max="414" width="22.06640625" bestFit="1" customWidth="1"/>
    <col min="415" max="415" width="22.86328125" bestFit="1" customWidth="1"/>
    <col min="416" max="416" width="22.06640625" bestFit="1" customWidth="1"/>
    <col min="417" max="417" width="15.1328125" bestFit="1" customWidth="1"/>
    <col min="418" max="418" width="11.265625" bestFit="1" customWidth="1"/>
    <col min="419" max="419" width="11.06640625" bestFit="1" customWidth="1"/>
    <col min="420" max="420" width="11.265625" bestFit="1" customWidth="1"/>
    <col min="421" max="421" width="16.1328125" bestFit="1" customWidth="1"/>
    <col min="422" max="422" width="11.265625" bestFit="1" customWidth="1"/>
    <col min="423" max="423" width="17" bestFit="1" customWidth="1"/>
    <col min="424" max="424" width="11.265625" bestFit="1" customWidth="1"/>
    <col min="425" max="425" width="16.1328125" bestFit="1" customWidth="1"/>
    <col min="426" max="426" width="11.265625" bestFit="1" customWidth="1"/>
    <col min="427" max="427" width="17.6640625" bestFit="1" customWidth="1"/>
    <col min="428" max="428" width="13.59765625" bestFit="1" customWidth="1"/>
    <col min="429" max="429" width="18.6640625" bestFit="1" customWidth="1"/>
    <col min="430" max="430" width="19.46484375" bestFit="1" customWidth="1"/>
    <col min="431" max="431" width="18.6640625" bestFit="1" customWidth="1"/>
    <col min="432" max="432" width="20.6640625" bestFit="1" customWidth="1"/>
    <col min="433" max="433" width="16.59765625" bestFit="1" customWidth="1"/>
    <col min="434" max="434" width="21.73046875" bestFit="1" customWidth="1"/>
    <col min="435" max="435" width="22.53125" bestFit="1" customWidth="1"/>
    <col min="436" max="436" width="21.73046875" bestFit="1" customWidth="1"/>
    <col min="437" max="437" width="17.6640625" bestFit="1" customWidth="1"/>
    <col min="438" max="438" width="13.59765625" bestFit="1" customWidth="1"/>
    <col min="439" max="439" width="18.6640625" bestFit="1" customWidth="1"/>
    <col min="440" max="440" width="19.46484375" bestFit="1" customWidth="1"/>
    <col min="441" max="441" width="18.6640625" bestFit="1" customWidth="1"/>
    <col min="442" max="442" width="22.9296875" bestFit="1" customWidth="1"/>
    <col min="443" max="443" width="18.86328125" bestFit="1" customWidth="1"/>
    <col min="444" max="444" width="23.9296875" bestFit="1" customWidth="1"/>
    <col min="445" max="445" width="24.73046875" bestFit="1" customWidth="1"/>
    <col min="446" max="446" width="23.9296875" bestFit="1" customWidth="1"/>
    <col min="447" max="447" width="15.1328125" bestFit="1" customWidth="1"/>
    <col min="448" max="448" width="12.265625" bestFit="1" customWidth="1"/>
    <col min="449" max="449" width="11.06640625" bestFit="1" customWidth="1"/>
    <col min="450" max="450" width="12.265625" bestFit="1" customWidth="1"/>
    <col min="451" max="451" width="16.1328125" bestFit="1" customWidth="1"/>
    <col min="452" max="452" width="12.265625" bestFit="1" customWidth="1"/>
    <col min="453" max="453" width="17" bestFit="1" customWidth="1"/>
    <col min="454" max="454" width="12.265625" bestFit="1" customWidth="1"/>
    <col min="455" max="455" width="16.1328125" bestFit="1" customWidth="1"/>
    <col min="456" max="456" width="12.265625" bestFit="1" customWidth="1"/>
    <col min="457" max="457" width="17.6640625" bestFit="1" customWidth="1"/>
    <col min="458" max="458" width="13.59765625" bestFit="1" customWidth="1"/>
    <col min="459" max="459" width="18.6640625" bestFit="1" customWidth="1"/>
    <col min="460" max="460" width="19.46484375" bestFit="1" customWidth="1"/>
    <col min="461" max="461" width="18.6640625" bestFit="1" customWidth="1"/>
    <col min="462" max="462" width="20.6640625" bestFit="1" customWidth="1"/>
    <col min="463" max="463" width="16.59765625" bestFit="1" customWidth="1"/>
    <col min="464" max="464" width="21.73046875" bestFit="1" customWidth="1"/>
    <col min="465" max="465" width="22.53125" bestFit="1" customWidth="1"/>
    <col min="466" max="466" width="21.73046875" bestFit="1" customWidth="1"/>
    <col min="467" max="467" width="18.6640625" bestFit="1" customWidth="1"/>
    <col min="468" max="468" width="14.59765625" bestFit="1" customWidth="1"/>
    <col min="469" max="469" width="19.6640625" bestFit="1" customWidth="1"/>
    <col min="470" max="470" width="20.46484375" bestFit="1" customWidth="1"/>
    <col min="471" max="471" width="19.6640625" bestFit="1" customWidth="1"/>
    <col min="472" max="472" width="19.265625" bestFit="1" customWidth="1"/>
    <col min="473" max="473" width="15.19921875" bestFit="1" customWidth="1"/>
    <col min="474" max="474" width="20.265625" bestFit="1" customWidth="1"/>
    <col min="475" max="475" width="21.1328125" bestFit="1" customWidth="1"/>
    <col min="476" max="476" width="20.265625" bestFit="1" customWidth="1"/>
    <col min="477" max="477" width="19.73046875" bestFit="1" customWidth="1"/>
    <col min="478" max="478" width="15.6640625" bestFit="1" customWidth="1"/>
    <col min="479" max="479" width="20.73046875" bestFit="1" customWidth="1"/>
    <col min="480" max="480" width="21.59765625" bestFit="1" customWidth="1"/>
    <col min="481" max="481" width="20.73046875" bestFit="1" customWidth="1"/>
  </cols>
  <sheetData>
    <row r="5" spans="1:481" x14ac:dyDescent="0.45">
      <c r="B5" s="19" t="s">
        <v>29</v>
      </c>
    </row>
    <row r="6" spans="1:481" x14ac:dyDescent="0.45">
      <c r="B6" t="s">
        <v>16</v>
      </c>
      <c r="AA6" t="s">
        <v>72</v>
      </c>
      <c r="AB6" t="s">
        <v>104</v>
      </c>
      <c r="AC6" t="s">
        <v>159</v>
      </c>
      <c r="AD6" t="s">
        <v>190</v>
      </c>
      <c r="AE6" t="s">
        <v>237</v>
      </c>
      <c r="AF6" t="s">
        <v>26</v>
      </c>
      <c r="BE6" t="s">
        <v>78</v>
      </c>
      <c r="BF6" t="s">
        <v>110</v>
      </c>
      <c r="BG6" t="s">
        <v>160</v>
      </c>
      <c r="BH6" t="s">
        <v>191</v>
      </c>
      <c r="BI6" t="s">
        <v>238</v>
      </c>
      <c r="BJ6" t="s">
        <v>24</v>
      </c>
      <c r="CI6" t="s">
        <v>81</v>
      </c>
      <c r="CJ6" t="s">
        <v>113</v>
      </c>
      <c r="CK6" t="s">
        <v>161</v>
      </c>
      <c r="CL6" t="s">
        <v>192</v>
      </c>
      <c r="CM6" t="s">
        <v>239</v>
      </c>
      <c r="CN6" t="s">
        <v>18</v>
      </c>
      <c r="DM6" t="s">
        <v>74</v>
      </c>
      <c r="DN6" t="s">
        <v>106</v>
      </c>
      <c r="DO6" t="s">
        <v>162</v>
      </c>
      <c r="DP6" t="s">
        <v>193</v>
      </c>
      <c r="DQ6" t="s">
        <v>240</v>
      </c>
      <c r="DR6" t="s">
        <v>17</v>
      </c>
      <c r="EQ6" t="s">
        <v>73</v>
      </c>
      <c r="ER6" t="s">
        <v>105</v>
      </c>
      <c r="ES6" t="s">
        <v>163</v>
      </c>
      <c r="ET6" t="s">
        <v>194</v>
      </c>
      <c r="EU6" t="s">
        <v>241</v>
      </c>
      <c r="EV6" t="s">
        <v>21</v>
      </c>
      <c r="FU6" t="s">
        <v>77</v>
      </c>
      <c r="FV6" t="s">
        <v>109</v>
      </c>
      <c r="FW6" t="s">
        <v>164</v>
      </c>
      <c r="FX6" t="s">
        <v>195</v>
      </c>
      <c r="FY6" t="s">
        <v>242</v>
      </c>
      <c r="FZ6" t="s">
        <v>23</v>
      </c>
      <c r="GY6" t="s">
        <v>80</v>
      </c>
      <c r="GZ6" t="s">
        <v>112</v>
      </c>
      <c r="HA6" t="s">
        <v>165</v>
      </c>
      <c r="HB6" t="s">
        <v>196</v>
      </c>
      <c r="HC6" t="s">
        <v>243</v>
      </c>
      <c r="HD6" t="s">
        <v>13</v>
      </c>
      <c r="IC6" t="s">
        <v>69</v>
      </c>
      <c r="ID6" t="s">
        <v>101</v>
      </c>
      <c r="IE6" t="s">
        <v>166</v>
      </c>
      <c r="IF6" t="s">
        <v>197</v>
      </c>
      <c r="IG6" t="s">
        <v>244</v>
      </c>
      <c r="IH6" t="s">
        <v>22</v>
      </c>
      <c r="JG6" t="s">
        <v>79</v>
      </c>
      <c r="JH6" t="s">
        <v>111</v>
      </c>
      <c r="JI6" t="s">
        <v>167</v>
      </c>
      <c r="JJ6" t="s">
        <v>198</v>
      </c>
      <c r="JK6" t="s">
        <v>245</v>
      </c>
      <c r="JL6" t="s">
        <v>15</v>
      </c>
      <c r="KK6" t="s">
        <v>71</v>
      </c>
      <c r="KL6" t="s">
        <v>103</v>
      </c>
      <c r="KM6" t="s">
        <v>168</v>
      </c>
      <c r="KN6" t="s">
        <v>199</v>
      </c>
      <c r="KO6" t="s">
        <v>246</v>
      </c>
      <c r="KP6" t="s">
        <v>12</v>
      </c>
      <c r="LO6" t="s">
        <v>68</v>
      </c>
      <c r="LP6" t="s">
        <v>100</v>
      </c>
      <c r="LQ6" t="s">
        <v>169</v>
      </c>
      <c r="LR6" t="s">
        <v>200</v>
      </c>
      <c r="LS6" t="s">
        <v>247</v>
      </c>
      <c r="LT6" t="s">
        <v>11</v>
      </c>
      <c r="NR6" t="s">
        <v>67</v>
      </c>
      <c r="NS6" t="s">
        <v>99</v>
      </c>
      <c r="NT6" t="s">
        <v>170</v>
      </c>
      <c r="NU6" t="s">
        <v>201</v>
      </c>
      <c r="NV6" t="s">
        <v>248</v>
      </c>
      <c r="NW6" t="s">
        <v>20</v>
      </c>
      <c r="OV6" t="s">
        <v>76</v>
      </c>
      <c r="OW6" t="s">
        <v>108</v>
      </c>
      <c r="OX6" t="s">
        <v>171</v>
      </c>
      <c r="OY6" t="s">
        <v>202</v>
      </c>
      <c r="OZ6" t="s">
        <v>249</v>
      </c>
      <c r="PA6" t="s">
        <v>19</v>
      </c>
      <c r="PZ6" t="s">
        <v>75</v>
      </c>
      <c r="QA6" t="s">
        <v>107</v>
      </c>
      <c r="QB6" t="s">
        <v>172</v>
      </c>
      <c r="QC6" t="s">
        <v>203</v>
      </c>
      <c r="QD6" t="s">
        <v>250</v>
      </c>
      <c r="QE6" t="s">
        <v>14</v>
      </c>
      <c r="RD6" t="s">
        <v>70</v>
      </c>
      <c r="RE6" t="s">
        <v>102</v>
      </c>
      <c r="RF6" t="s">
        <v>173</v>
      </c>
      <c r="RG6" t="s">
        <v>204</v>
      </c>
      <c r="RH6" t="s">
        <v>251</v>
      </c>
      <c r="RI6" t="s">
        <v>66</v>
      </c>
      <c r="RJ6" t="s">
        <v>98</v>
      </c>
      <c r="RK6" t="s">
        <v>47</v>
      </c>
      <c r="RL6" t="s">
        <v>64</v>
      </c>
      <c r="RM6" t="s">
        <v>252</v>
      </c>
    </row>
    <row r="7" spans="1:481" x14ac:dyDescent="0.45">
      <c r="B7">
        <v>600</v>
      </c>
      <c r="V7" t="s">
        <v>88</v>
      </c>
      <c r="W7" t="s">
        <v>119</v>
      </c>
      <c r="X7" t="s">
        <v>44</v>
      </c>
      <c r="Y7" t="s">
        <v>61</v>
      </c>
      <c r="Z7" t="s">
        <v>253</v>
      </c>
      <c r="AF7">
        <v>750</v>
      </c>
      <c r="AZ7" t="s">
        <v>94</v>
      </c>
      <c r="BA7" t="s">
        <v>125</v>
      </c>
      <c r="BB7" t="s">
        <v>46</v>
      </c>
      <c r="BC7" t="s">
        <v>63</v>
      </c>
      <c r="BD7" t="s">
        <v>254</v>
      </c>
      <c r="BJ7">
        <v>80</v>
      </c>
      <c r="CD7" t="s">
        <v>97</v>
      </c>
      <c r="CE7" t="s">
        <v>128</v>
      </c>
      <c r="CF7" t="s">
        <v>34</v>
      </c>
      <c r="CG7" t="s">
        <v>51</v>
      </c>
      <c r="CH7" t="s">
        <v>255</v>
      </c>
      <c r="CN7">
        <v>150</v>
      </c>
      <c r="DH7" t="s">
        <v>90</v>
      </c>
      <c r="DI7" t="s">
        <v>121</v>
      </c>
      <c r="DJ7" t="s">
        <v>36</v>
      </c>
      <c r="DK7" t="s">
        <v>53</v>
      </c>
      <c r="DL7" t="s">
        <v>256</v>
      </c>
      <c r="DR7">
        <v>700</v>
      </c>
      <c r="EL7" t="s">
        <v>89</v>
      </c>
      <c r="EM7" t="s">
        <v>120</v>
      </c>
      <c r="EN7" t="s">
        <v>45</v>
      </c>
      <c r="EO7" t="s">
        <v>62</v>
      </c>
      <c r="EP7" t="s">
        <v>257</v>
      </c>
      <c r="EV7">
        <v>350</v>
      </c>
      <c r="FP7" t="s">
        <v>93</v>
      </c>
      <c r="FQ7" t="s">
        <v>124</v>
      </c>
      <c r="FR7" t="s">
        <v>40</v>
      </c>
      <c r="FS7" t="s">
        <v>57</v>
      </c>
      <c r="FT7" t="s">
        <v>258</v>
      </c>
      <c r="FZ7">
        <v>250</v>
      </c>
      <c r="GT7" t="s">
        <v>96</v>
      </c>
      <c r="GU7" t="s">
        <v>127</v>
      </c>
      <c r="GV7" t="s">
        <v>38</v>
      </c>
      <c r="GW7" t="s">
        <v>55</v>
      </c>
      <c r="GX7" t="s">
        <v>259</v>
      </c>
      <c r="HD7">
        <v>400</v>
      </c>
      <c r="HX7" t="s">
        <v>85</v>
      </c>
      <c r="HY7" t="s">
        <v>116</v>
      </c>
      <c r="HZ7" t="s">
        <v>41</v>
      </c>
      <c r="IA7" t="s">
        <v>58</v>
      </c>
      <c r="IB7" t="s">
        <v>260</v>
      </c>
      <c r="IH7">
        <v>320</v>
      </c>
      <c r="JB7" t="s">
        <v>95</v>
      </c>
      <c r="JC7" t="s">
        <v>126</v>
      </c>
      <c r="JD7" t="s">
        <v>39</v>
      </c>
      <c r="JE7" t="s">
        <v>56</v>
      </c>
      <c r="JF7" t="s">
        <v>261</v>
      </c>
      <c r="JL7">
        <v>50</v>
      </c>
      <c r="KF7" t="s">
        <v>87</v>
      </c>
      <c r="KG7" t="s">
        <v>118</v>
      </c>
      <c r="KH7" t="s">
        <v>33</v>
      </c>
      <c r="KI7" t="s">
        <v>50</v>
      </c>
      <c r="KJ7" t="s">
        <v>262</v>
      </c>
      <c r="KP7">
        <v>500</v>
      </c>
      <c r="LJ7" t="s">
        <v>84</v>
      </c>
      <c r="LK7" t="s">
        <v>115</v>
      </c>
      <c r="LL7" t="s">
        <v>43</v>
      </c>
      <c r="LM7" t="s">
        <v>60</v>
      </c>
      <c r="LN7" t="s">
        <v>263</v>
      </c>
      <c r="LT7">
        <v>20</v>
      </c>
      <c r="MN7" t="s">
        <v>91</v>
      </c>
      <c r="MO7" t="s">
        <v>122</v>
      </c>
      <c r="MP7" t="s">
        <v>32</v>
      </c>
      <c r="MQ7" t="s">
        <v>49</v>
      </c>
      <c r="MR7" t="s">
        <v>264</v>
      </c>
      <c r="MS7">
        <v>100</v>
      </c>
      <c r="NM7" t="s">
        <v>83</v>
      </c>
      <c r="NN7" t="s">
        <v>114</v>
      </c>
      <c r="NO7" t="s">
        <v>35</v>
      </c>
      <c r="NP7" t="s">
        <v>52</v>
      </c>
      <c r="NQ7" t="s">
        <v>265</v>
      </c>
      <c r="NW7">
        <v>450</v>
      </c>
      <c r="OQ7" t="s">
        <v>92</v>
      </c>
      <c r="OR7" t="s">
        <v>123</v>
      </c>
      <c r="OS7" t="s">
        <v>42</v>
      </c>
      <c r="OT7" t="s">
        <v>59</v>
      </c>
      <c r="OU7" t="s">
        <v>266</v>
      </c>
      <c r="PA7">
        <v>20</v>
      </c>
      <c r="PU7" t="s">
        <v>91</v>
      </c>
      <c r="PV7" t="s">
        <v>122</v>
      </c>
      <c r="PW7" t="s">
        <v>32</v>
      </c>
      <c r="PX7" t="s">
        <v>49</v>
      </c>
      <c r="PY7" t="s">
        <v>264</v>
      </c>
      <c r="QE7">
        <v>200</v>
      </c>
      <c r="QY7" t="s">
        <v>86</v>
      </c>
      <c r="QZ7" t="s">
        <v>117</v>
      </c>
      <c r="RA7" t="s">
        <v>37</v>
      </c>
      <c r="RB7" t="s">
        <v>54</v>
      </c>
      <c r="RC7" t="s">
        <v>267</v>
      </c>
    </row>
    <row r="8" spans="1:481" x14ac:dyDescent="0.45">
      <c r="B8">
        <v>51000</v>
      </c>
      <c r="Q8" t="s">
        <v>221</v>
      </c>
      <c r="R8" t="s">
        <v>143</v>
      </c>
      <c r="S8" t="s">
        <v>174</v>
      </c>
      <c r="T8" t="s">
        <v>205</v>
      </c>
      <c r="U8" t="s">
        <v>268</v>
      </c>
      <c r="AF8">
        <v>800000</v>
      </c>
      <c r="AU8" t="s">
        <v>222</v>
      </c>
      <c r="AV8" t="s">
        <v>144</v>
      </c>
      <c r="AW8" t="s">
        <v>175</v>
      </c>
      <c r="AX8" t="s">
        <v>206</v>
      </c>
      <c r="AY8" t="s">
        <v>269</v>
      </c>
      <c r="BJ8">
        <v>18000</v>
      </c>
      <c r="BY8" t="s">
        <v>223</v>
      </c>
      <c r="BZ8" t="s">
        <v>145</v>
      </c>
      <c r="CA8" t="s">
        <v>176</v>
      </c>
      <c r="CB8" t="s">
        <v>207</v>
      </c>
      <c r="CC8" t="s">
        <v>270</v>
      </c>
      <c r="CN8">
        <v>12000</v>
      </c>
      <c r="DC8" t="s">
        <v>224</v>
      </c>
      <c r="DD8" t="s">
        <v>146</v>
      </c>
      <c r="DE8" t="s">
        <v>177</v>
      </c>
      <c r="DF8" t="s">
        <v>208</v>
      </c>
      <c r="DG8" t="s">
        <v>271</v>
      </c>
      <c r="DR8">
        <v>40000</v>
      </c>
      <c r="EG8" t="s">
        <v>225</v>
      </c>
      <c r="EH8" t="s">
        <v>147</v>
      </c>
      <c r="EI8" t="s">
        <v>178</v>
      </c>
      <c r="EJ8" t="s">
        <v>209</v>
      </c>
      <c r="EK8" t="s">
        <v>272</v>
      </c>
      <c r="EV8">
        <v>34999</v>
      </c>
      <c r="FK8" t="s">
        <v>226</v>
      </c>
      <c r="FL8" t="s">
        <v>148</v>
      </c>
      <c r="FM8" t="s">
        <v>179</v>
      </c>
      <c r="FN8" t="s">
        <v>210</v>
      </c>
      <c r="FO8" t="s">
        <v>273</v>
      </c>
      <c r="FZ8">
        <v>43000</v>
      </c>
      <c r="GO8" t="s">
        <v>227</v>
      </c>
      <c r="GP8" t="s">
        <v>149</v>
      </c>
      <c r="GQ8" t="s">
        <v>180</v>
      </c>
      <c r="GR8" t="s">
        <v>211</v>
      </c>
      <c r="GS8" t="s">
        <v>274</v>
      </c>
      <c r="HD8">
        <v>62000</v>
      </c>
      <c r="HS8" t="s">
        <v>228</v>
      </c>
      <c r="HT8" t="s">
        <v>150</v>
      </c>
      <c r="HU8" t="s">
        <v>181</v>
      </c>
      <c r="HV8" t="s">
        <v>212</v>
      </c>
      <c r="HW8" t="s">
        <v>275</v>
      </c>
      <c r="IH8">
        <v>22800</v>
      </c>
      <c r="IW8" t="s">
        <v>229</v>
      </c>
      <c r="IX8" t="s">
        <v>151</v>
      </c>
      <c r="IY8" t="s">
        <v>182</v>
      </c>
      <c r="IZ8" t="s">
        <v>213</v>
      </c>
      <c r="JA8" t="s">
        <v>276</v>
      </c>
      <c r="JL8">
        <v>20000</v>
      </c>
      <c r="KA8" t="s">
        <v>230</v>
      </c>
      <c r="KB8" t="s">
        <v>152</v>
      </c>
      <c r="KC8" t="s">
        <v>183</v>
      </c>
      <c r="KD8" t="s">
        <v>214</v>
      </c>
      <c r="KE8" t="s">
        <v>277</v>
      </c>
      <c r="KP8">
        <v>35999</v>
      </c>
      <c r="LE8" t="s">
        <v>231</v>
      </c>
      <c r="LF8" t="s">
        <v>153</v>
      </c>
      <c r="LG8" t="s">
        <v>184</v>
      </c>
      <c r="LH8" t="s">
        <v>215</v>
      </c>
      <c r="LI8" t="s">
        <v>278</v>
      </c>
      <c r="LT8">
        <v>15</v>
      </c>
      <c r="MI8" t="s">
        <v>232</v>
      </c>
      <c r="MJ8" t="s">
        <v>154</v>
      </c>
      <c r="MK8" t="s">
        <v>185</v>
      </c>
      <c r="ML8" t="s">
        <v>216</v>
      </c>
      <c r="MM8" t="s">
        <v>279</v>
      </c>
      <c r="MS8">
        <v>56500</v>
      </c>
      <c r="NH8" t="s">
        <v>233</v>
      </c>
      <c r="NI8" t="s">
        <v>155</v>
      </c>
      <c r="NJ8" t="s">
        <v>186</v>
      </c>
      <c r="NK8" t="s">
        <v>217</v>
      </c>
      <c r="NL8" t="s">
        <v>280</v>
      </c>
      <c r="NW8">
        <v>16500</v>
      </c>
      <c r="OL8" t="s">
        <v>234</v>
      </c>
      <c r="OM8" t="s">
        <v>156</v>
      </c>
      <c r="ON8" t="s">
        <v>187</v>
      </c>
      <c r="OO8" t="s">
        <v>218</v>
      </c>
      <c r="OP8" t="s">
        <v>281</v>
      </c>
      <c r="PA8">
        <v>15000</v>
      </c>
      <c r="PP8" t="s">
        <v>235</v>
      </c>
      <c r="PQ8" t="s">
        <v>157</v>
      </c>
      <c r="PR8" t="s">
        <v>188</v>
      </c>
      <c r="PS8" t="s">
        <v>219</v>
      </c>
      <c r="PT8" t="s">
        <v>282</v>
      </c>
      <c r="QE8">
        <v>66900</v>
      </c>
      <c r="QT8" t="s">
        <v>236</v>
      </c>
      <c r="QU8" t="s">
        <v>158</v>
      </c>
      <c r="QV8" t="s">
        <v>189</v>
      </c>
      <c r="QW8" t="s">
        <v>220</v>
      </c>
      <c r="QX8" t="s">
        <v>283</v>
      </c>
    </row>
    <row r="9" spans="1:481" x14ac:dyDescent="0.45">
      <c r="B9">
        <v>482</v>
      </c>
      <c r="L9" t="s">
        <v>285</v>
      </c>
      <c r="M9" t="s">
        <v>286</v>
      </c>
      <c r="N9" t="s">
        <v>287</v>
      </c>
      <c r="O9" t="s">
        <v>288</v>
      </c>
      <c r="P9" t="s">
        <v>289</v>
      </c>
      <c r="AF9">
        <v>300</v>
      </c>
      <c r="AP9" t="s">
        <v>290</v>
      </c>
      <c r="AQ9" t="s">
        <v>291</v>
      </c>
      <c r="AR9" t="s">
        <v>292</v>
      </c>
      <c r="AS9" t="s">
        <v>293</v>
      </c>
      <c r="AT9" t="s">
        <v>294</v>
      </c>
      <c r="BJ9">
        <v>50</v>
      </c>
      <c r="BT9" t="s">
        <v>87</v>
      </c>
      <c r="BU9" t="s">
        <v>118</v>
      </c>
      <c r="BV9" t="s">
        <v>33</v>
      </c>
      <c r="BW9" t="s">
        <v>50</v>
      </c>
      <c r="BX9" t="s">
        <v>262</v>
      </c>
      <c r="CN9">
        <v>68</v>
      </c>
      <c r="CX9" t="s">
        <v>295</v>
      </c>
      <c r="CY9" t="s">
        <v>296</v>
      </c>
      <c r="CZ9" t="s">
        <v>297</v>
      </c>
      <c r="DA9" t="s">
        <v>298</v>
      </c>
      <c r="DB9" t="s">
        <v>299</v>
      </c>
      <c r="DR9">
        <v>582</v>
      </c>
      <c r="EB9" t="s">
        <v>300</v>
      </c>
      <c r="EC9" t="s">
        <v>301</v>
      </c>
      <c r="ED9" t="s">
        <v>302</v>
      </c>
      <c r="EE9" t="s">
        <v>303</v>
      </c>
      <c r="EF9" t="s">
        <v>304</v>
      </c>
      <c r="EV9">
        <v>276</v>
      </c>
      <c r="FF9" t="s">
        <v>305</v>
      </c>
      <c r="FG9" t="s">
        <v>306</v>
      </c>
      <c r="FH9" t="s">
        <v>307</v>
      </c>
      <c r="FI9" t="s">
        <v>308</v>
      </c>
      <c r="FJ9" t="s">
        <v>309</v>
      </c>
      <c r="FZ9">
        <v>223</v>
      </c>
      <c r="GJ9" t="s">
        <v>310</v>
      </c>
      <c r="GK9" t="s">
        <v>311</v>
      </c>
      <c r="GL9" t="s">
        <v>312</v>
      </c>
      <c r="GM9" t="s">
        <v>313</v>
      </c>
      <c r="GN9" t="s">
        <v>314</v>
      </c>
      <c r="HD9">
        <v>280</v>
      </c>
      <c r="HN9" t="s">
        <v>315</v>
      </c>
      <c r="HO9" t="s">
        <v>316</v>
      </c>
      <c r="HP9" t="s">
        <v>317</v>
      </c>
      <c r="HQ9" t="s">
        <v>318</v>
      </c>
      <c r="HR9" t="s">
        <v>319</v>
      </c>
      <c r="IH9">
        <v>300</v>
      </c>
      <c r="IR9" t="s">
        <v>290</v>
      </c>
      <c r="IS9" t="s">
        <v>291</v>
      </c>
      <c r="IT9" t="s">
        <v>292</v>
      </c>
      <c r="IU9" t="s">
        <v>293</v>
      </c>
      <c r="IV9" t="s">
        <v>294</v>
      </c>
      <c r="JL9">
        <v>5</v>
      </c>
      <c r="JV9" t="s">
        <v>320</v>
      </c>
      <c r="JW9" t="s">
        <v>321</v>
      </c>
      <c r="JX9" t="s">
        <v>322</v>
      </c>
      <c r="JY9" t="s">
        <v>323</v>
      </c>
      <c r="JZ9" t="s">
        <v>324</v>
      </c>
      <c r="KP9">
        <v>300</v>
      </c>
      <c r="KZ9" t="s">
        <v>290</v>
      </c>
      <c r="LA9" t="s">
        <v>291</v>
      </c>
      <c r="LB9" t="s">
        <v>292</v>
      </c>
      <c r="LC9" t="s">
        <v>293</v>
      </c>
      <c r="LD9" t="s">
        <v>294</v>
      </c>
      <c r="LT9">
        <v>582</v>
      </c>
      <c r="MD9" t="s">
        <v>300</v>
      </c>
      <c r="ME9" t="s">
        <v>301</v>
      </c>
      <c r="MF9" t="s">
        <v>302</v>
      </c>
      <c r="MG9" t="s">
        <v>303</v>
      </c>
      <c r="MH9" t="s">
        <v>304</v>
      </c>
      <c r="MS9">
        <v>50</v>
      </c>
      <c r="NC9" t="s">
        <v>87</v>
      </c>
      <c r="ND9" t="s">
        <v>118</v>
      </c>
      <c r="NE9" t="s">
        <v>33</v>
      </c>
      <c r="NF9" t="s">
        <v>50</v>
      </c>
      <c r="NG9" t="s">
        <v>262</v>
      </c>
      <c r="NW9">
        <v>320</v>
      </c>
      <c r="OG9" t="s">
        <v>95</v>
      </c>
      <c r="OH9" t="s">
        <v>126</v>
      </c>
      <c r="OI9" t="s">
        <v>39</v>
      </c>
      <c r="OJ9" t="s">
        <v>56</v>
      </c>
      <c r="OK9" t="s">
        <v>261</v>
      </c>
      <c r="PA9">
        <v>10</v>
      </c>
      <c r="PK9" t="s">
        <v>325</v>
      </c>
      <c r="PL9" t="s">
        <v>326</v>
      </c>
      <c r="PM9" t="s">
        <v>327</v>
      </c>
      <c r="PN9" t="s">
        <v>328</v>
      </c>
      <c r="PO9" t="s">
        <v>329</v>
      </c>
      <c r="QE9">
        <v>30</v>
      </c>
      <c r="QO9" t="s">
        <v>330</v>
      </c>
      <c r="QP9" t="s">
        <v>331</v>
      </c>
      <c r="QQ9" t="s">
        <v>332</v>
      </c>
      <c r="QR9" t="s">
        <v>333</v>
      </c>
      <c r="QS9" t="s">
        <v>334</v>
      </c>
    </row>
    <row r="10" spans="1:481" x14ac:dyDescent="0.45">
      <c r="B10" t="s">
        <v>82</v>
      </c>
      <c r="D10" t="s">
        <v>129</v>
      </c>
      <c r="F10" t="s">
        <v>48</v>
      </c>
      <c r="H10" t="s">
        <v>65</v>
      </c>
      <c r="J10" t="s">
        <v>284</v>
      </c>
      <c r="AF10" t="s">
        <v>82</v>
      </c>
      <c r="AH10" t="s">
        <v>129</v>
      </c>
      <c r="AJ10" t="s">
        <v>48</v>
      </c>
      <c r="AL10" t="s">
        <v>65</v>
      </c>
      <c r="AN10" t="s">
        <v>284</v>
      </c>
      <c r="BJ10" t="s">
        <v>82</v>
      </c>
      <c r="BL10" t="s">
        <v>129</v>
      </c>
      <c r="BN10" t="s">
        <v>48</v>
      </c>
      <c r="BP10" t="s">
        <v>65</v>
      </c>
      <c r="BR10" t="s">
        <v>284</v>
      </c>
      <c r="CN10" t="s">
        <v>82</v>
      </c>
      <c r="CP10" t="s">
        <v>129</v>
      </c>
      <c r="CR10" t="s">
        <v>48</v>
      </c>
      <c r="CT10" t="s">
        <v>65</v>
      </c>
      <c r="CV10" t="s">
        <v>284</v>
      </c>
      <c r="DR10" t="s">
        <v>82</v>
      </c>
      <c r="DT10" t="s">
        <v>129</v>
      </c>
      <c r="DV10" t="s">
        <v>48</v>
      </c>
      <c r="DX10" t="s">
        <v>65</v>
      </c>
      <c r="DZ10" t="s">
        <v>284</v>
      </c>
      <c r="EV10" t="s">
        <v>82</v>
      </c>
      <c r="EX10" t="s">
        <v>129</v>
      </c>
      <c r="EZ10" t="s">
        <v>48</v>
      </c>
      <c r="FB10" t="s">
        <v>65</v>
      </c>
      <c r="FD10" t="s">
        <v>284</v>
      </c>
      <c r="FZ10" t="s">
        <v>82</v>
      </c>
      <c r="GB10" t="s">
        <v>129</v>
      </c>
      <c r="GD10" t="s">
        <v>48</v>
      </c>
      <c r="GF10" t="s">
        <v>65</v>
      </c>
      <c r="GH10" t="s">
        <v>284</v>
      </c>
      <c r="HD10" t="s">
        <v>82</v>
      </c>
      <c r="HF10" t="s">
        <v>129</v>
      </c>
      <c r="HH10" t="s">
        <v>48</v>
      </c>
      <c r="HJ10" t="s">
        <v>65</v>
      </c>
      <c r="HL10" t="s">
        <v>284</v>
      </c>
      <c r="IH10" t="s">
        <v>82</v>
      </c>
      <c r="IJ10" t="s">
        <v>129</v>
      </c>
      <c r="IL10" t="s">
        <v>48</v>
      </c>
      <c r="IN10" t="s">
        <v>65</v>
      </c>
      <c r="IP10" t="s">
        <v>284</v>
      </c>
      <c r="JL10" t="s">
        <v>82</v>
      </c>
      <c r="JN10" t="s">
        <v>129</v>
      </c>
      <c r="JP10" t="s">
        <v>48</v>
      </c>
      <c r="JR10" t="s">
        <v>65</v>
      </c>
      <c r="JT10" t="s">
        <v>284</v>
      </c>
      <c r="KP10" t="s">
        <v>82</v>
      </c>
      <c r="KR10" t="s">
        <v>129</v>
      </c>
      <c r="KT10" t="s">
        <v>48</v>
      </c>
      <c r="KV10" t="s">
        <v>65</v>
      </c>
      <c r="KX10" t="s">
        <v>284</v>
      </c>
      <c r="LT10" t="s">
        <v>82</v>
      </c>
      <c r="LV10" t="s">
        <v>129</v>
      </c>
      <c r="LX10" t="s">
        <v>48</v>
      </c>
      <c r="LZ10" t="s">
        <v>65</v>
      </c>
      <c r="MB10" t="s">
        <v>284</v>
      </c>
      <c r="MS10" t="s">
        <v>82</v>
      </c>
      <c r="MU10" t="s">
        <v>129</v>
      </c>
      <c r="MW10" t="s">
        <v>48</v>
      </c>
      <c r="MY10" t="s">
        <v>65</v>
      </c>
      <c r="NA10" t="s">
        <v>284</v>
      </c>
      <c r="NW10" t="s">
        <v>82</v>
      </c>
      <c r="NY10" t="s">
        <v>129</v>
      </c>
      <c r="OA10" t="s">
        <v>48</v>
      </c>
      <c r="OC10" t="s">
        <v>65</v>
      </c>
      <c r="OE10" t="s">
        <v>284</v>
      </c>
      <c r="PA10" t="s">
        <v>82</v>
      </c>
      <c r="PC10" t="s">
        <v>129</v>
      </c>
      <c r="PE10" t="s">
        <v>48</v>
      </c>
      <c r="PG10" t="s">
        <v>65</v>
      </c>
      <c r="PI10" t="s">
        <v>284</v>
      </c>
      <c r="QE10" t="s">
        <v>82</v>
      </c>
      <c r="QG10" t="s">
        <v>129</v>
      </c>
      <c r="QI10" t="s">
        <v>48</v>
      </c>
      <c r="QK10" t="s">
        <v>65</v>
      </c>
      <c r="QM10" t="s">
        <v>284</v>
      </c>
    </row>
    <row r="11" spans="1:481" x14ac:dyDescent="0.45">
      <c r="B11">
        <v>23136000</v>
      </c>
      <c r="C11" t="s">
        <v>335</v>
      </c>
      <c r="D11">
        <v>23136000</v>
      </c>
      <c r="E11" t="s">
        <v>335</v>
      </c>
      <c r="F11">
        <v>23136000</v>
      </c>
      <c r="G11" t="s">
        <v>335</v>
      </c>
      <c r="H11">
        <v>23136000</v>
      </c>
      <c r="I11" t="s">
        <v>335</v>
      </c>
      <c r="J11">
        <v>23136000</v>
      </c>
      <c r="K11" t="s">
        <v>335</v>
      </c>
      <c r="AF11">
        <v>210000000</v>
      </c>
      <c r="AG11" t="s">
        <v>336</v>
      </c>
      <c r="AH11">
        <v>210000000</v>
      </c>
      <c r="AI11" t="s">
        <v>336</v>
      </c>
      <c r="AJ11">
        <v>210000000</v>
      </c>
      <c r="AK11" t="s">
        <v>336</v>
      </c>
      <c r="AL11">
        <v>210000000</v>
      </c>
      <c r="AM11" t="s">
        <v>336</v>
      </c>
      <c r="AN11">
        <v>210000000</v>
      </c>
      <c r="AO11" t="s">
        <v>336</v>
      </c>
      <c r="BJ11">
        <v>1040000</v>
      </c>
      <c r="BK11" t="s">
        <v>337</v>
      </c>
      <c r="BL11">
        <v>1040000</v>
      </c>
      <c r="BM11" t="s">
        <v>337</v>
      </c>
      <c r="BN11">
        <v>1040000</v>
      </c>
      <c r="BO11" t="s">
        <v>337</v>
      </c>
      <c r="BP11">
        <v>1040000</v>
      </c>
      <c r="BQ11" t="s">
        <v>337</v>
      </c>
      <c r="BR11">
        <v>1040000</v>
      </c>
      <c r="BS11" t="s">
        <v>337</v>
      </c>
      <c r="CN11">
        <v>884000</v>
      </c>
      <c r="CO11" t="s">
        <v>338</v>
      </c>
      <c r="CP11">
        <v>884000</v>
      </c>
      <c r="CQ11" t="s">
        <v>338</v>
      </c>
      <c r="CR11">
        <v>884000</v>
      </c>
      <c r="CS11" t="s">
        <v>338</v>
      </c>
      <c r="CT11">
        <v>884000</v>
      </c>
      <c r="CU11" t="s">
        <v>338</v>
      </c>
      <c r="CV11">
        <v>884000</v>
      </c>
      <c r="CW11" t="s">
        <v>338</v>
      </c>
      <c r="DR11">
        <v>22698000</v>
      </c>
      <c r="DS11" t="s">
        <v>339</v>
      </c>
      <c r="DT11">
        <v>22698000</v>
      </c>
      <c r="DU11" t="s">
        <v>339</v>
      </c>
      <c r="DV11">
        <v>22698000</v>
      </c>
      <c r="DW11" t="s">
        <v>339</v>
      </c>
      <c r="DX11">
        <v>22698000</v>
      </c>
      <c r="DY11" t="s">
        <v>339</v>
      </c>
      <c r="DZ11">
        <v>22698000</v>
      </c>
      <c r="EA11" t="s">
        <v>339</v>
      </c>
      <c r="EV11">
        <v>10460400</v>
      </c>
      <c r="EW11" t="s">
        <v>340</v>
      </c>
      <c r="EX11">
        <v>10460400</v>
      </c>
      <c r="EY11" t="s">
        <v>340</v>
      </c>
      <c r="EZ11">
        <v>10460400</v>
      </c>
      <c r="FA11" t="s">
        <v>340</v>
      </c>
      <c r="FB11">
        <v>10460400</v>
      </c>
      <c r="FC11" t="s">
        <v>340</v>
      </c>
      <c r="FD11">
        <v>10460400</v>
      </c>
      <c r="FE11" t="s">
        <v>340</v>
      </c>
      <c r="FZ11">
        <v>11149777</v>
      </c>
      <c r="GA11" t="s">
        <v>341</v>
      </c>
      <c r="GB11">
        <v>11149777</v>
      </c>
      <c r="GC11" t="s">
        <v>341</v>
      </c>
      <c r="GD11">
        <v>11149777</v>
      </c>
      <c r="GE11" t="s">
        <v>341</v>
      </c>
      <c r="GF11">
        <v>11149777</v>
      </c>
      <c r="GG11" t="s">
        <v>341</v>
      </c>
      <c r="GH11">
        <v>11149777</v>
      </c>
      <c r="GI11" t="s">
        <v>341</v>
      </c>
      <c r="HD11">
        <v>19227600</v>
      </c>
      <c r="HE11" t="s">
        <v>342</v>
      </c>
      <c r="HF11">
        <v>19227600</v>
      </c>
      <c r="HG11" t="s">
        <v>342</v>
      </c>
      <c r="HH11">
        <v>19227600</v>
      </c>
      <c r="HI11" t="s">
        <v>342</v>
      </c>
      <c r="HJ11">
        <v>19227600</v>
      </c>
      <c r="HK11" t="s">
        <v>342</v>
      </c>
      <c r="HL11">
        <v>19227600</v>
      </c>
      <c r="HM11" t="s">
        <v>342</v>
      </c>
      <c r="IH11">
        <v>7500000</v>
      </c>
      <c r="II11" t="s">
        <v>343</v>
      </c>
      <c r="IJ11">
        <v>7500000</v>
      </c>
      <c r="IK11" t="s">
        <v>343</v>
      </c>
      <c r="IL11">
        <v>7500000</v>
      </c>
      <c r="IM11" t="s">
        <v>343</v>
      </c>
      <c r="IN11">
        <v>7500000</v>
      </c>
      <c r="IO11" t="s">
        <v>343</v>
      </c>
      <c r="IP11">
        <v>7500000</v>
      </c>
      <c r="IQ11" t="s">
        <v>343</v>
      </c>
      <c r="JL11">
        <v>800000</v>
      </c>
      <c r="JM11" t="s">
        <v>142</v>
      </c>
      <c r="JN11">
        <v>800000</v>
      </c>
      <c r="JO11" t="s">
        <v>142</v>
      </c>
      <c r="JP11">
        <v>800000</v>
      </c>
      <c r="JQ11" t="s">
        <v>142</v>
      </c>
      <c r="JR11">
        <v>800000</v>
      </c>
      <c r="JS11" t="s">
        <v>142</v>
      </c>
      <c r="JT11">
        <v>800000</v>
      </c>
      <c r="JU11" t="s">
        <v>142</v>
      </c>
      <c r="KP11">
        <v>12000000</v>
      </c>
      <c r="KQ11" t="s">
        <v>344</v>
      </c>
      <c r="KR11">
        <v>12000000</v>
      </c>
      <c r="KS11" t="s">
        <v>344</v>
      </c>
      <c r="KT11">
        <v>12000000</v>
      </c>
      <c r="KU11" t="s">
        <v>344</v>
      </c>
      <c r="KV11">
        <v>12000000</v>
      </c>
      <c r="KW11" t="s">
        <v>344</v>
      </c>
      <c r="KX11">
        <v>12000000</v>
      </c>
      <c r="KY11" t="s">
        <v>344</v>
      </c>
      <c r="LT11">
        <v>330565777</v>
      </c>
      <c r="LU11" t="s">
        <v>345</v>
      </c>
      <c r="LV11">
        <v>330565777</v>
      </c>
      <c r="LW11" t="s">
        <v>345</v>
      </c>
      <c r="LX11">
        <v>330565777</v>
      </c>
      <c r="LY11" t="s">
        <v>345</v>
      </c>
      <c r="LZ11">
        <v>330565777</v>
      </c>
      <c r="MA11" t="s">
        <v>345</v>
      </c>
      <c r="MB11">
        <v>330565777</v>
      </c>
      <c r="MC11" t="s">
        <v>345</v>
      </c>
      <c r="MS11">
        <v>3000000</v>
      </c>
      <c r="MT11" t="s">
        <v>346</v>
      </c>
      <c r="MU11">
        <v>3000000</v>
      </c>
      <c r="MV11" t="s">
        <v>346</v>
      </c>
      <c r="MW11">
        <v>3000000</v>
      </c>
      <c r="MX11" t="s">
        <v>346</v>
      </c>
      <c r="MY11">
        <v>3000000</v>
      </c>
      <c r="MZ11" t="s">
        <v>346</v>
      </c>
      <c r="NA11">
        <v>3000000</v>
      </c>
      <c r="NB11" t="s">
        <v>346</v>
      </c>
      <c r="NW11">
        <v>6400000</v>
      </c>
      <c r="NX11" t="s">
        <v>347</v>
      </c>
      <c r="NY11">
        <v>6400000</v>
      </c>
      <c r="NZ11" t="s">
        <v>347</v>
      </c>
      <c r="OA11">
        <v>6400000</v>
      </c>
      <c r="OB11" t="s">
        <v>347</v>
      </c>
      <c r="OC11">
        <v>6400000</v>
      </c>
      <c r="OD11" t="s">
        <v>347</v>
      </c>
      <c r="OE11">
        <v>6400000</v>
      </c>
      <c r="OF11" t="s">
        <v>347</v>
      </c>
      <c r="PA11">
        <v>140000</v>
      </c>
      <c r="PB11" t="s">
        <v>348</v>
      </c>
      <c r="PC11">
        <v>140000</v>
      </c>
      <c r="PD11" t="s">
        <v>348</v>
      </c>
      <c r="PE11">
        <v>140000</v>
      </c>
      <c r="PF11" t="s">
        <v>348</v>
      </c>
      <c r="PG11">
        <v>140000</v>
      </c>
      <c r="PH11" t="s">
        <v>348</v>
      </c>
      <c r="PI11">
        <v>140000</v>
      </c>
      <c r="PJ11" t="s">
        <v>348</v>
      </c>
      <c r="QE11">
        <v>2130000</v>
      </c>
      <c r="QF11" t="s">
        <v>349</v>
      </c>
      <c r="QG11">
        <v>2130000</v>
      </c>
      <c r="QH11" t="s">
        <v>349</v>
      </c>
      <c r="QI11">
        <v>2130000</v>
      </c>
      <c r="QJ11" t="s">
        <v>349</v>
      </c>
      <c r="QK11">
        <v>2130000</v>
      </c>
      <c r="QL11" t="s">
        <v>349</v>
      </c>
      <c r="QM11">
        <v>2130000</v>
      </c>
      <c r="QN11" t="s">
        <v>349</v>
      </c>
    </row>
    <row r="12" spans="1:481" x14ac:dyDescent="0.45">
      <c r="A12" s="19" t="s">
        <v>31</v>
      </c>
      <c r="B12">
        <v>118</v>
      </c>
      <c r="D12">
        <v>118</v>
      </c>
      <c r="F12">
        <v>118</v>
      </c>
      <c r="H12">
        <v>118</v>
      </c>
      <c r="J12">
        <v>118</v>
      </c>
      <c r="AF12">
        <v>450</v>
      </c>
      <c r="AH12">
        <v>450</v>
      </c>
      <c r="AJ12">
        <v>450</v>
      </c>
      <c r="AL12">
        <v>450</v>
      </c>
      <c r="AN12">
        <v>450</v>
      </c>
      <c r="BJ12">
        <v>30</v>
      </c>
      <c r="BL12">
        <v>30</v>
      </c>
      <c r="BN12">
        <v>30</v>
      </c>
      <c r="BP12">
        <v>30</v>
      </c>
      <c r="BR12">
        <v>30</v>
      </c>
      <c r="CN12">
        <v>82</v>
      </c>
      <c r="CP12">
        <v>82</v>
      </c>
      <c r="CR12">
        <v>82</v>
      </c>
      <c r="CT12">
        <v>82</v>
      </c>
      <c r="CV12">
        <v>82</v>
      </c>
      <c r="DR12">
        <v>118</v>
      </c>
      <c r="DT12">
        <v>118</v>
      </c>
      <c r="DV12">
        <v>118</v>
      </c>
      <c r="DX12">
        <v>118</v>
      </c>
      <c r="DZ12">
        <v>118</v>
      </c>
      <c r="EV12">
        <v>74</v>
      </c>
      <c r="EX12">
        <v>74</v>
      </c>
      <c r="EZ12">
        <v>74</v>
      </c>
      <c r="FB12">
        <v>74</v>
      </c>
      <c r="FD12">
        <v>74</v>
      </c>
      <c r="FZ12">
        <v>27</v>
      </c>
      <c r="GB12">
        <v>27</v>
      </c>
      <c r="GD12">
        <v>27</v>
      </c>
      <c r="GF12">
        <v>27</v>
      </c>
      <c r="GH12">
        <v>27</v>
      </c>
      <c r="HD12">
        <v>120</v>
      </c>
      <c r="HF12">
        <v>120</v>
      </c>
      <c r="HH12">
        <v>120</v>
      </c>
      <c r="HJ12">
        <v>120</v>
      </c>
      <c r="HL12">
        <v>120</v>
      </c>
      <c r="IH12">
        <v>20</v>
      </c>
      <c r="IJ12">
        <v>20</v>
      </c>
      <c r="IL12">
        <v>20</v>
      </c>
      <c r="IN12">
        <v>20</v>
      </c>
      <c r="IP12">
        <v>20</v>
      </c>
      <c r="JL12">
        <v>45</v>
      </c>
      <c r="JN12">
        <v>45</v>
      </c>
      <c r="JP12">
        <v>45</v>
      </c>
      <c r="JR12">
        <v>45</v>
      </c>
      <c r="JT12">
        <v>45</v>
      </c>
      <c r="KP12">
        <v>200</v>
      </c>
      <c r="KR12">
        <v>200</v>
      </c>
      <c r="KT12">
        <v>200</v>
      </c>
      <c r="KV12">
        <v>200</v>
      </c>
      <c r="KX12">
        <v>200</v>
      </c>
      <c r="LT12">
        <v>450</v>
      </c>
      <c r="LV12">
        <v>450</v>
      </c>
      <c r="LX12">
        <v>450</v>
      </c>
      <c r="LZ12">
        <v>450</v>
      </c>
      <c r="MB12">
        <v>450</v>
      </c>
      <c r="MS12">
        <v>50</v>
      </c>
      <c r="MU12">
        <v>50</v>
      </c>
      <c r="MW12">
        <v>50</v>
      </c>
      <c r="MY12">
        <v>50</v>
      </c>
      <c r="NA12">
        <v>50</v>
      </c>
      <c r="NW12">
        <v>130</v>
      </c>
      <c r="NY12">
        <v>130</v>
      </c>
      <c r="OA12">
        <v>130</v>
      </c>
      <c r="OC12">
        <v>130</v>
      </c>
      <c r="OE12">
        <v>130</v>
      </c>
      <c r="PA12">
        <v>10</v>
      </c>
      <c r="PC12">
        <v>10</v>
      </c>
      <c r="PE12">
        <v>10</v>
      </c>
      <c r="PG12">
        <v>10</v>
      </c>
      <c r="PI12">
        <v>10</v>
      </c>
      <c r="QE12">
        <v>170</v>
      </c>
      <c r="QG12">
        <v>170</v>
      </c>
      <c r="QI12">
        <v>170</v>
      </c>
      <c r="QK12">
        <v>170</v>
      </c>
      <c r="QM12">
        <v>170</v>
      </c>
    </row>
    <row r="13" spans="1:481" x14ac:dyDescent="0.45">
      <c r="A13" s="7" t="s">
        <v>130</v>
      </c>
      <c r="D13" s="20"/>
      <c r="E13" s="20"/>
      <c r="M13" s="20"/>
      <c r="R13" s="20"/>
      <c r="W13" s="20"/>
      <c r="AB13" s="20"/>
      <c r="AH13" s="20"/>
      <c r="AI13" s="20"/>
      <c r="AQ13" s="20"/>
      <c r="AV13" s="20"/>
      <c r="BA13" s="20"/>
      <c r="BF13" s="20"/>
      <c r="BL13" s="20"/>
      <c r="BM13" s="20"/>
      <c r="BU13" s="20"/>
      <c r="BZ13" s="20"/>
      <c r="CE13" s="20"/>
      <c r="CJ13" s="20"/>
      <c r="CP13" s="20"/>
      <c r="CQ13" s="20"/>
      <c r="CY13" s="20"/>
      <c r="DD13" s="20"/>
      <c r="DI13" s="20"/>
      <c r="DN13" s="20"/>
      <c r="DT13" s="20"/>
      <c r="DU13" s="20"/>
      <c r="EC13" s="20"/>
      <c r="EH13" s="20"/>
      <c r="EM13" s="20"/>
      <c r="ER13" s="20"/>
      <c r="EX13" s="20"/>
      <c r="EY13" s="20"/>
      <c r="FG13" s="20"/>
      <c r="FL13" s="20"/>
      <c r="FQ13" s="20"/>
      <c r="FV13" s="20"/>
      <c r="GB13" s="20"/>
      <c r="GC13" s="20"/>
      <c r="GK13" s="20"/>
      <c r="GP13" s="20"/>
      <c r="GU13" s="20"/>
      <c r="GZ13" s="20"/>
      <c r="HF13" s="20"/>
      <c r="HG13" s="20"/>
      <c r="HO13" s="20"/>
      <c r="HT13" s="20"/>
      <c r="HY13" s="20"/>
      <c r="ID13" s="20"/>
      <c r="IJ13" s="20"/>
      <c r="IK13" s="20"/>
      <c r="IS13" s="20"/>
      <c r="IX13" s="20"/>
      <c r="JC13" s="20"/>
      <c r="JH13" s="20"/>
      <c r="JN13" s="20"/>
      <c r="JO13" s="20"/>
      <c r="JW13" s="20"/>
      <c r="KB13" s="20"/>
      <c r="KG13" s="20"/>
      <c r="KL13" s="20"/>
      <c r="KR13" s="20"/>
      <c r="KS13" s="20"/>
      <c r="LA13" s="20"/>
      <c r="LF13" s="20"/>
      <c r="LK13" s="20"/>
      <c r="LP13" s="20"/>
      <c r="LV13" s="20"/>
      <c r="LW13" s="20"/>
      <c r="ME13" s="20"/>
      <c r="MJ13" s="20"/>
      <c r="MO13" s="20"/>
      <c r="MS13">
        <v>5650000</v>
      </c>
      <c r="MT13">
        <v>5650000</v>
      </c>
      <c r="MU13" s="20">
        <v>60000</v>
      </c>
      <c r="MV13" s="20">
        <v>60000</v>
      </c>
      <c r="MW13">
        <v>3000000</v>
      </c>
      <c r="MX13">
        <v>3000000</v>
      </c>
      <c r="MY13">
        <v>50</v>
      </c>
      <c r="MZ13">
        <v>50</v>
      </c>
      <c r="NA13">
        <v>2825000</v>
      </c>
      <c r="NB13">
        <v>2825000</v>
      </c>
      <c r="NC13">
        <v>5650000</v>
      </c>
      <c r="ND13" s="20">
        <v>60000</v>
      </c>
      <c r="NE13">
        <v>3000000</v>
      </c>
      <c r="NF13">
        <v>50</v>
      </c>
      <c r="NG13">
        <v>2825000</v>
      </c>
      <c r="NH13">
        <v>5650000</v>
      </c>
      <c r="NI13" s="20">
        <v>60000</v>
      </c>
      <c r="NJ13">
        <v>3000000</v>
      </c>
      <c r="NK13">
        <v>50</v>
      </c>
      <c r="NL13">
        <v>2825000</v>
      </c>
      <c r="NM13">
        <v>5650000</v>
      </c>
      <c r="NN13" s="20">
        <v>60000</v>
      </c>
      <c r="NO13">
        <v>3000000</v>
      </c>
      <c r="NP13">
        <v>50</v>
      </c>
      <c r="NQ13">
        <v>2825000</v>
      </c>
      <c r="NR13">
        <v>5650000</v>
      </c>
      <c r="NS13" s="20">
        <v>60000</v>
      </c>
      <c r="NT13">
        <v>3000000</v>
      </c>
      <c r="NU13">
        <v>50</v>
      </c>
      <c r="NV13">
        <v>2825000</v>
      </c>
      <c r="NY13" s="20"/>
      <c r="NZ13" s="20"/>
      <c r="OH13" s="20"/>
      <c r="OM13" s="20"/>
      <c r="OR13" s="20"/>
      <c r="OW13" s="20"/>
      <c r="PC13" s="20"/>
      <c r="PD13" s="20"/>
      <c r="PL13" s="20"/>
      <c r="PQ13" s="20"/>
      <c r="PV13" s="20"/>
      <c r="QA13" s="20"/>
      <c r="QG13" s="20"/>
      <c r="QH13" s="20"/>
      <c r="QP13" s="20"/>
      <c r="QU13" s="20"/>
      <c r="QZ13" s="20"/>
      <c r="RE13" s="20"/>
      <c r="RI13">
        <v>5650000</v>
      </c>
      <c r="RJ13" s="20">
        <v>60000</v>
      </c>
      <c r="RK13">
        <v>3000000</v>
      </c>
      <c r="RL13">
        <v>50</v>
      </c>
      <c r="RM13">
        <v>2825000</v>
      </c>
    </row>
    <row r="14" spans="1:481" x14ac:dyDescent="0.45">
      <c r="A14" s="7" t="s">
        <v>131</v>
      </c>
      <c r="D14" s="20"/>
      <c r="E14" s="20"/>
      <c r="M14" s="20"/>
      <c r="R14" s="20"/>
      <c r="W14" s="20"/>
      <c r="AB14" s="20"/>
      <c r="AH14" s="20"/>
      <c r="AI14" s="20"/>
      <c r="AQ14" s="20"/>
      <c r="AV14" s="20"/>
      <c r="BA14" s="20"/>
      <c r="BF14" s="20"/>
      <c r="BL14" s="20"/>
      <c r="BM14" s="20"/>
      <c r="BU14" s="20"/>
      <c r="BZ14" s="20"/>
      <c r="CE14" s="20"/>
      <c r="CJ14" s="20"/>
      <c r="CP14" s="20"/>
      <c r="CQ14" s="20"/>
      <c r="CY14" s="20"/>
      <c r="DD14" s="20"/>
      <c r="DI14" s="20"/>
      <c r="DN14" s="20"/>
      <c r="DT14" s="20"/>
      <c r="DU14" s="20"/>
      <c r="EC14" s="20"/>
      <c r="EH14" s="20"/>
      <c r="EM14" s="20"/>
      <c r="ER14" s="20"/>
      <c r="EX14" s="20"/>
      <c r="EY14" s="20"/>
      <c r="FG14" s="20"/>
      <c r="FL14" s="20"/>
      <c r="FQ14" s="20"/>
      <c r="FV14" s="20"/>
      <c r="GB14" s="20"/>
      <c r="GC14" s="20"/>
      <c r="GK14" s="20"/>
      <c r="GP14" s="20"/>
      <c r="GU14" s="20"/>
      <c r="GZ14" s="20"/>
      <c r="HF14" s="20"/>
      <c r="HG14" s="20"/>
      <c r="HO14" s="20"/>
      <c r="HT14" s="20"/>
      <c r="HY14" s="20"/>
      <c r="ID14" s="20"/>
      <c r="IJ14" s="20"/>
      <c r="IK14" s="20"/>
      <c r="IS14" s="20"/>
      <c r="IX14" s="20"/>
      <c r="JC14" s="20"/>
      <c r="JH14" s="20"/>
      <c r="JN14" s="20"/>
      <c r="JO14" s="20"/>
      <c r="JW14" s="20"/>
      <c r="KB14" s="20"/>
      <c r="KG14" s="20"/>
      <c r="KL14" s="20"/>
      <c r="KP14">
        <v>17999500</v>
      </c>
      <c r="KQ14">
        <v>17999500</v>
      </c>
      <c r="KR14" s="20">
        <v>40000</v>
      </c>
      <c r="KS14" s="20">
        <v>40000</v>
      </c>
      <c r="KT14">
        <v>12000000</v>
      </c>
      <c r="KU14">
        <v>12000000</v>
      </c>
      <c r="KV14">
        <v>200</v>
      </c>
      <c r="KW14">
        <v>200</v>
      </c>
      <c r="KX14">
        <v>7199800</v>
      </c>
      <c r="KY14">
        <v>7199800</v>
      </c>
      <c r="KZ14">
        <v>17999500</v>
      </c>
      <c r="LA14" s="20">
        <v>40000</v>
      </c>
      <c r="LB14">
        <v>12000000</v>
      </c>
      <c r="LC14">
        <v>200</v>
      </c>
      <c r="LD14">
        <v>7199800</v>
      </c>
      <c r="LE14">
        <v>17999500</v>
      </c>
      <c r="LF14" s="20">
        <v>40000</v>
      </c>
      <c r="LG14">
        <v>12000000</v>
      </c>
      <c r="LH14">
        <v>200</v>
      </c>
      <c r="LI14">
        <v>7199800</v>
      </c>
      <c r="LJ14">
        <v>17999500</v>
      </c>
      <c r="LK14" s="20">
        <v>40000</v>
      </c>
      <c r="LL14">
        <v>12000000</v>
      </c>
      <c r="LM14">
        <v>200</v>
      </c>
      <c r="LN14">
        <v>7199800</v>
      </c>
      <c r="LO14">
        <v>17999500</v>
      </c>
      <c r="LP14" s="20">
        <v>40000</v>
      </c>
      <c r="LQ14">
        <v>12000000</v>
      </c>
      <c r="LR14">
        <v>200</v>
      </c>
      <c r="LS14">
        <v>7199800</v>
      </c>
      <c r="LV14" s="20"/>
      <c r="LW14" s="20"/>
      <c r="ME14" s="20"/>
      <c r="MJ14" s="20"/>
      <c r="MO14" s="20"/>
      <c r="MU14" s="20"/>
      <c r="MV14" s="20"/>
      <c r="ND14" s="20"/>
      <c r="NI14" s="20"/>
      <c r="NN14" s="20"/>
      <c r="NS14" s="20"/>
      <c r="NY14" s="20"/>
      <c r="NZ14" s="20"/>
      <c r="OH14" s="20"/>
      <c r="OM14" s="20"/>
      <c r="OR14" s="20"/>
      <c r="OW14" s="20"/>
      <c r="PC14" s="20"/>
      <c r="PD14" s="20"/>
      <c r="PL14" s="20"/>
      <c r="PQ14" s="20"/>
      <c r="PV14" s="20"/>
      <c r="QA14" s="20"/>
      <c r="QG14" s="20"/>
      <c r="QH14" s="20"/>
      <c r="QP14" s="20"/>
      <c r="QU14" s="20"/>
      <c r="QZ14" s="20"/>
      <c r="RE14" s="20"/>
      <c r="RI14">
        <v>17999500</v>
      </c>
      <c r="RJ14" s="20">
        <v>40000</v>
      </c>
      <c r="RK14">
        <v>12000000</v>
      </c>
      <c r="RL14">
        <v>200</v>
      </c>
      <c r="RM14">
        <v>7199800</v>
      </c>
    </row>
    <row r="15" spans="1:481" x14ac:dyDescent="0.45">
      <c r="A15" s="7" t="s">
        <v>132</v>
      </c>
      <c r="D15" s="20"/>
      <c r="E15" s="20"/>
      <c r="M15" s="20"/>
      <c r="R15" s="20"/>
      <c r="W15" s="20"/>
      <c r="AB15" s="20"/>
      <c r="AH15" s="20"/>
      <c r="AI15" s="20"/>
      <c r="AQ15" s="20"/>
      <c r="AV15" s="20"/>
      <c r="BA15" s="20"/>
      <c r="BF15" s="20"/>
      <c r="BL15" s="20"/>
      <c r="BM15" s="20"/>
      <c r="BU15" s="20"/>
      <c r="BZ15" s="20"/>
      <c r="CE15" s="20"/>
      <c r="CJ15" s="20"/>
      <c r="CP15" s="20"/>
      <c r="CQ15" s="20"/>
      <c r="CY15" s="20"/>
      <c r="DD15" s="20"/>
      <c r="DI15" s="20"/>
      <c r="DN15" s="20"/>
      <c r="DT15" s="20"/>
      <c r="DU15" s="20"/>
      <c r="EC15" s="20"/>
      <c r="EH15" s="20"/>
      <c r="EM15" s="20"/>
      <c r="ER15" s="20"/>
      <c r="EX15" s="20"/>
      <c r="EY15" s="20"/>
      <c r="FG15" s="20"/>
      <c r="FL15" s="20"/>
      <c r="FQ15" s="20"/>
      <c r="FV15" s="20"/>
      <c r="GB15" s="20"/>
      <c r="GC15" s="20"/>
      <c r="GK15" s="20"/>
      <c r="GP15" s="20"/>
      <c r="GU15" s="20"/>
      <c r="GZ15" s="20"/>
      <c r="HD15">
        <v>24800000</v>
      </c>
      <c r="HE15">
        <v>24800000</v>
      </c>
      <c r="HF15" s="20">
        <v>68670</v>
      </c>
      <c r="HG15" s="20">
        <v>68670</v>
      </c>
      <c r="HH15">
        <v>19227600</v>
      </c>
      <c r="HI15">
        <v>19227600</v>
      </c>
      <c r="HJ15">
        <v>120</v>
      </c>
      <c r="HK15">
        <v>120</v>
      </c>
      <c r="HL15">
        <v>7440000</v>
      </c>
      <c r="HM15">
        <v>7440000</v>
      </c>
      <c r="HN15">
        <v>24800000</v>
      </c>
      <c r="HO15" s="20">
        <v>68670</v>
      </c>
      <c r="HP15">
        <v>19227600</v>
      </c>
      <c r="HQ15">
        <v>120</v>
      </c>
      <c r="HR15">
        <v>7440000</v>
      </c>
      <c r="HS15">
        <v>24800000</v>
      </c>
      <c r="HT15" s="20">
        <v>68670</v>
      </c>
      <c r="HU15">
        <v>19227600</v>
      </c>
      <c r="HV15">
        <v>120</v>
      </c>
      <c r="HW15">
        <v>7440000</v>
      </c>
      <c r="HX15">
        <v>24800000</v>
      </c>
      <c r="HY15" s="20">
        <v>68670</v>
      </c>
      <c r="HZ15">
        <v>19227600</v>
      </c>
      <c r="IA15">
        <v>120</v>
      </c>
      <c r="IB15">
        <v>7440000</v>
      </c>
      <c r="IC15">
        <v>24800000</v>
      </c>
      <c r="ID15" s="20">
        <v>68670</v>
      </c>
      <c r="IE15">
        <v>19227600</v>
      </c>
      <c r="IF15">
        <v>120</v>
      </c>
      <c r="IG15">
        <v>7440000</v>
      </c>
      <c r="IJ15" s="20"/>
      <c r="IK15" s="20"/>
      <c r="IS15" s="20"/>
      <c r="IX15" s="20"/>
      <c r="JC15" s="20"/>
      <c r="JH15" s="20"/>
      <c r="JN15" s="20"/>
      <c r="JO15" s="20"/>
      <c r="JW15" s="20"/>
      <c r="KB15" s="20"/>
      <c r="KG15" s="20"/>
      <c r="KL15" s="20"/>
      <c r="KR15" s="20"/>
      <c r="KS15" s="20"/>
      <c r="LA15" s="20"/>
      <c r="LF15" s="20"/>
      <c r="LK15" s="20"/>
      <c r="LP15" s="20"/>
      <c r="LV15" s="20"/>
      <c r="LW15" s="20"/>
      <c r="ME15" s="20"/>
      <c r="MJ15" s="20"/>
      <c r="MO15" s="20"/>
      <c r="MU15" s="20"/>
      <c r="MV15" s="20"/>
      <c r="ND15" s="20"/>
      <c r="NI15" s="20"/>
      <c r="NN15" s="20"/>
      <c r="NS15" s="20"/>
      <c r="NY15" s="20"/>
      <c r="NZ15" s="20"/>
      <c r="OH15" s="20"/>
      <c r="OM15" s="20"/>
      <c r="OR15" s="20"/>
      <c r="OW15" s="20"/>
      <c r="PC15" s="20"/>
      <c r="PD15" s="20"/>
      <c r="PL15" s="20"/>
      <c r="PQ15" s="20"/>
      <c r="PV15" s="20"/>
      <c r="QA15" s="20"/>
      <c r="QG15" s="20"/>
      <c r="QH15" s="20"/>
      <c r="QP15" s="20"/>
      <c r="QU15" s="20"/>
      <c r="QZ15" s="20"/>
      <c r="RE15" s="20"/>
      <c r="RI15">
        <v>24800000</v>
      </c>
      <c r="RJ15" s="20">
        <v>68670</v>
      </c>
      <c r="RK15">
        <v>19227600</v>
      </c>
      <c r="RL15">
        <v>120</v>
      </c>
      <c r="RM15">
        <v>7440000</v>
      </c>
    </row>
    <row r="16" spans="1:481" x14ac:dyDescent="0.45">
      <c r="A16" s="7" t="s">
        <v>133</v>
      </c>
      <c r="D16" s="20"/>
      <c r="E16" s="20"/>
      <c r="M16" s="20"/>
      <c r="R16" s="20"/>
      <c r="W16" s="20"/>
      <c r="AB16" s="20"/>
      <c r="AH16" s="20"/>
      <c r="AI16" s="20"/>
      <c r="AQ16" s="20"/>
      <c r="AV16" s="20"/>
      <c r="BA16" s="20"/>
      <c r="BF16" s="20"/>
      <c r="BL16" s="20"/>
      <c r="BM16" s="20"/>
      <c r="BU16" s="20"/>
      <c r="BZ16" s="20"/>
      <c r="CE16" s="20"/>
      <c r="CJ16" s="20"/>
      <c r="CP16" s="20"/>
      <c r="CQ16" s="20"/>
      <c r="CY16" s="20"/>
      <c r="DD16" s="20"/>
      <c r="DI16" s="20"/>
      <c r="DN16" s="20"/>
      <c r="DT16" s="20"/>
      <c r="DU16" s="20"/>
      <c r="EC16" s="20"/>
      <c r="EH16" s="20"/>
      <c r="EM16" s="20"/>
      <c r="ER16" s="20"/>
      <c r="EX16" s="20"/>
      <c r="EY16" s="20"/>
      <c r="FG16" s="20"/>
      <c r="FL16" s="20"/>
      <c r="FQ16" s="20"/>
      <c r="FV16" s="20"/>
      <c r="GB16" s="20"/>
      <c r="GC16" s="20"/>
      <c r="GK16" s="20"/>
      <c r="GP16" s="20"/>
      <c r="GU16" s="20"/>
      <c r="GZ16" s="20"/>
      <c r="HF16" s="20"/>
      <c r="HG16" s="20"/>
      <c r="HO16" s="20"/>
      <c r="HT16" s="20"/>
      <c r="HY16" s="20"/>
      <c r="ID16" s="20"/>
      <c r="IJ16" s="20"/>
      <c r="IK16" s="20"/>
      <c r="IS16" s="20"/>
      <c r="IX16" s="20"/>
      <c r="JC16" s="20"/>
      <c r="JH16" s="20"/>
      <c r="JN16" s="20"/>
      <c r="JO16" s="20"/>
      <c r="JW16" s="20"/>
      <c r="KB16" s="20"/>
      <c r="KG16" s="20"/>
      <c r="KL16" s="20"/>
      <c r="KR16" s="20"/>
      <c r="KS16" s="20"/>
      <c r="LA16" s="20"/>
      <c r="LF16" s="20"/>
      <c r="LK16" s="20"/>
      <c r="LP16" s="20"/>
      <c r="LV16" s="20"/>
      <c r="LW16" s="20"/>
      <c r="ME16" s="20"/>
      <c r="MJ16" s="20"/>
      <c r="MO16" s="20"/>
      <c r="MU16" s="20"/>
      <c r="MV16" s="20"/>
      <c r="ND16" s="20"/>
      <c r="NI16" s="20"/>
      <c r="NN16" s="20"/>
      <c r="NS16" s="20"/>
      <c r="NY16" s="20"/>
      <c r="NZ16" s="20"/>
      <c r="OH16" s="20"/>
      <c r="OM16" s="20"/>
      <c r="OR16" s="20"/>
      <c r="OW16" s="20"/>
      <c r="PC16" s="20"/>
      <c r="PD16" s="20"/>
      <c r="PL16" s="20"/>
      <c r="PQ16" s="20"/>
      <c r="PV16" s="20"/>
      <c r="QA16" s="20"/>
      <c r="QE16">
        <v>13380000</v>
      </c>
      <c r="QF16">
        <v>13380000</v>
      </c>
      <c r="QG16" s="20">
        <v>71000</v>
      </c>
      <c r="QH16" s="20">
        <v>71000</v>
      </c>
      <c r="QI16">
        <v>2130000</v>
      </c>
      <c r="QJ16">
        <v>2130000</v>
      </c>
      <c r="QK16">
        <v>170</v>
      </c>
      <c r="QL16">
        <v>170</v>
      </c>
      <c r="QM16">
        <v>11373000</v>
      </c>
      <c r="QN16">
        <v>11373000</v>
      </c>
      <c r="QO16">
        <v>13380000</v>
      </c>
      <c r="QP16" s="20">
        <v>71000</v>
      </c>
      <c r="QQ16">
        <v>2130000</v>
      </c>
      <c r="QR16">
        <v>170</v>
      </c>
      <c r="QS16">
        <v>11373000</v>
      </c>
      <c r="QT16">
        <v>13380000</v>
      </c>
      <c r="QU16" s="20">
        <v>71000</v>
      </c>
      <c r="QV16">
        <v>2130000</v>
      </c>
      <c r="QW16">
        <v>170</v>
      </c>
      <c r="QX16">
        <v>11373000</v>
      </c>
      <c r="QY16">
        <v>13380000</v>
      </c>
      <c r="QZ16" s="20">
        <v>71000</v>
      </c>
      <c r="RA16">
        <v>2130000</v>
      </c>
      <c r="RB16">
        <v>170</v>
      </c>
      <c r="RC16">
        <v>11373000</v>
      </c>
      <c r="RD16">
        <v>13380000</v>
      </c>
      <c r="RE16" s="20">
        <v>71000</v>
      </c>
      <c r="RF16">
        <v>2130000</v>
      </c>
      <c r="RG16">
        <v>170</v>
      </c>
      <c r="RH16">
        <v>11373000</v>
      </c>
      <c r="RI16">
        <v>13380000</v>
      </c>
      <c r="RJ16" s="20">
        <v>71000</v>
      </c>
      <c r="RK16">
        <v>2130000</v>
      </c>
      <c r="RL16">
        <v>170</v>
      </c>
      <c r="RM16">
        <v>11373000</v>
      </c>
    </row>
    <row r="17" spans="1:481" x14ac:dyDescent="0.45">
      <c r="A17" s="7" t="s">
        <v>134</v>
      </c>
      <c r="D17" s="20"/>
      <c r="E17" s="20"/>
      <c r="M17" s="20"/>
      <c r="R17" s="20"/>
      <c r="W17" s="20"/>
      <c r="AB17" s="20"/>
      <c r="AH17" s="20"/>
      <c r="AI17" s="20"/>
      <c r="AQ17" s="20"/>
      <c r="AV17" s="20"/>
      <c r="BA17" s="20"/>
      <c r="BF17" s="20"/>
      <c r="BL17" s="20"/>
      <c r="BM17" s="20"/>
      <c r="BU17" s="20"/>
      <c r="BZ17" s="20"/>
      <c r="CE17" s="20"/>
      <c r="CJ17" s="20"/>
      <c r="CP17" s="20"/>
      <c r="CQ17" s="20"/>
      <c r="CY17" s="20"/>
      <c r="DD17" s="20"/>
      <c r="DI17" s="20"/>
      <c r="DN17" s="20"/>
      <c r="DT17" s="20"/>
      <c r="DU17" s="20"/>
      <c r="EC17" s="20"/>
      <c r="EH17" s="20"/>
      <c r="EM17" s="20"/>
      <c r="ER17" s="20"/>
      <c r="EX17" s="20"/>
      <c r="EY17" s="20"/>
      <c r="FG17" s="20"/>
      <c r="FL17" s="20"/>
      <c r="FQ17" s="20"/>
      <c r="FV17" s="20"/>
      <c r="GB17" s="20"/>
      <c r="GC17" s="20"/>
      <c r="GK17" s="20"/>
      <c r="GP17" s="20"/>
      <c r="GU17" s="20"/>
      <c r="GZ17" s="20"/>
      <c r="HF17" s="20"/>
      <c r="HG17" s="20"/>
      <c r="HO17" s="20"/>
      <c r="HT17" s="20"/>
      <c r="HY17" s="20"/>
      <c r="ID17" s="20"/>
      <c r="IJ17" s="20"/>
      <c r="IK17" s="20"/>
      <c r="IS17" s="20"/>
      <c r="IX17" s="20"/>
      <c r="JC17" s="20"/>
      <c r="JH17" s="20"/>
      <c r="JL17">
        <v>1000000</v>
      </c>
      <c r="JM17">
        <v>1000000</v>
      </c>
      <c r="JN17" s="20">
        <v>16000</v>
      </c>
      <c r="JO17" s="20">
        <v>16000</v>
      </c>
      <c r="JP17">
        <v>800000</v>
      </c>
      <c r="JQ17">
        <v>800000</v>
      </c>
      <c r="JR17">
        <v>45</v>
      </c>
      <c r="JS17">
        <v>45</v>
      </c>
      <c r="JT17">
        <v>900000</v>
      </c>
      <c r="JU17">
        <v>900000</v>
      </c>
      <c r="JV17">
        <v>1000000</v>
      </c>
      <c r="JW17" s="20">
        <v>16000</v>
      </c>
      <c r="JX17">
        <v>800000</v>
      </c>
      <c r="JY17">
        <v>45</v>
      </c>
      <c r="JZ17">
        <v>900000</v>
      </c>
      <c r="KA17">
        <v>1000000</v>
      </c>
      <c r="KB17" s="20">
        <v>16000</v>
      </c>
      <c r="KC17">
        <v>800000</v>
      </c>
      <c r="KD17">
        <v>45</v>
      </c>
      <c r="KE17">
        <v>900000</v>
      </c>
      <c r="KF17">
        <v>1000000</v>
      </c>
      <c r="KG17" s="20">
        <v>16000</v>
      </c>
      <c r="KH17">
        <v>800000</v>
      </c>
      <c r="KI17">
        <v>45</v>
      </c>
      <c r="KJ17">
        <v>900000</v>
      </c>
      <c r="KK17">
        <v>1000000</v>
      </c>
      <c r="KL17" s="20">
        <v>16000</v>
      </c>
      <c r="KM17">
        <v>800000</v>
      </c>
      <c r="KN17">
        <v>45</v>
      </c>
      <c r="KO17">
        <v>900000</v>
      </c>
      <c r="KR17" s="20"/>
      <c r="KS17" s="20"/>
      <c r="LA17" s="20"/>
      <c r="LF17" s="20"/>
      <c r="LK17" s="20"/>
      <c r="LP17" s="20"/>
      <c r="LV17" s="20"/>
      <c r="LW17" s="20"/>
      <c r="ME17" s="20"/>
      <c r="MJ17" s="20"/>
      <c r="MO17" s="20"/>
      <c r="MU17" s="20"/>
      <c r="MV17" s="20"/>
      <c r="ND17" s="20"/>
      <c r="NI17" s="20"/>
      <c r="NN17" s="20"/>
      <c r="NS17" s="20"/>
      <c r="NY17" s="20"/>
      <c r="NZ17" s="20"/>
      <c r="OH17" s="20"/>
      <c r="OM17" s="20"/>
      <c r="OR17" s="20"/>
      <c r="OW17" s="20"/>
      <c r="PC17" s="20"/>
      <c r="PD17" s="20"/>
      <c r="PL17" s="20"/>
      <c r="PQ17" s="20"/>
      <c r="PV17" s="20"/>
      <c r="QA17" s="20"/>
      <c r="QG17" s="20"/>
      <c r="QH17" s="20"/>
      <c r="QP17" s="20"/>
      <c r="QU17" s="20"/>
      <c r="QZ17" s="20"/>
      <c r="RE17" s="20"/>
      <c r="RI17">
        <v>1000000</v>
      </c>
      <c r="RJ17" s="20">
        <v>16000</v>
      </c>
      <c r="RK17">
        <v>800000</v>
      </c>
      <c r="RL17">
        <v>45</v>
      </c>
      <c r="RM17">
        <v>900000</v>
      </c>
    </row>
    <row r="18" spans="1:481" x14ac:dyDescent="0.45">
      <c r="A18" s="7" t="s">
        <v>135</v>
      </c>
      <c r="B18">
        <v>30600000</v>
      </c>
      <c r="C18">
        <v>30600000</v>
      </c>
      <c r="D18" s="20">
        <v>48000</v>
      </c>
      <c r="E18" s="20">
        <v>48000</v>
      </c>
      <c r="F18">
        <v>23136000</v>
      </c>
      <c r="G18">
        <v>23136000</v>
      </c>
      <c r="H18">
        <v>118</v>
      </c>
      <c r="I18">
        <v>118</v>
      </c>
      <c r="J18">
        <v>6018000</v>
      </c>
      <c r="K18">
        <v>6018000</v>
      </c>
      <c r="L18">
        <v>30600000</v>
      </c>
      <c r="M18" s="20">
        <v>48000</v>
      </c>
      <c r="N18">
        <v>23136000</v>
      </c>
      <c r="O18">
        <v>118</v>
      </c>
      <c r="P18">
        <v>6018000</v>
      </c>
      <c r="Q18">
        <v>30600000</v>
      </c>
      <c r="R18" s="20">
        <v>48000</v>
      </c>
      <c r="S18">
        <v>23136000</v>
      </c>
      <c r="T18">
        <v>118</v>
      </c>
      <c r="U18">
        <v>6018000</v>
      </c>
      <c r="V18">
        <v>30600000</v>
      </c>
      <c r="W18" s="20">
        <v>48000</v>
      </c>
      <c r="X18">
        <v>23136000</v>
      </c>
      <c r="Y18">
        <v>118</v>
      </c>
      <c r="Z18">
        <v>6018000</v>
      </c>
      <c r="AA18">
        <v>30600000</v>
      </c>
      <c r="AB18" s="20">
        <v>48000</v>
      </c>
      <c r="AC18">
        <v>23136000</v>
      </c>
      <c r="AD18">
        <v>118</v>
      </c>
      <c r="AE18">
        <v>6018000</v>
      </c>
      <c r="AH18" s="20"/>
      <c r="AI18" s="20"/>
      <c r="AQ18" s="20"/>
      <c r="AV18" s="20"/>
      <c r="BA18" s="20"/>
      <c r="BF18" s="20"/>
      <c r="BL18" s="20"/>
      <c r="BM18" s="20"/>
      <c r="BU18" s="20"/>
      <c r="BZ18" s="20"/>
      <c r="CE18" s="20"/>
      <c r="CJ18" s="20"/>
      <c r="CP18" s="20"/>
      <c r="CQ18" s="20"/>
      <c r="CY18" s="20"/>
      <c r="DD18" s="20"/>
      <c r="DI18" s="20"/>
      <c r="DN18" s="20"/>
      <c r="DT18" s="20"/>
      <c r="DU18" s="20"/>
      <c r="EC18" s="20"/>
      <c r="EH18" s="20"/>
      <c r="EM18" s="20"/>
      <c r="ER18" s="20"/>
      <c r="EX18" s="20"/>
      <c r="EY18" s="20"/>
      <c r="FG18" s="20"/>
      <c r="FL18" s="20"/>
      <c r="FQ18" s="20"/>
      <c r="FV18" s="20"/>
      <c r="GB18" s="20"/>
      <c r="GC18" s="20"/>
      <c r="GK18" s="20"/>
      <c r="GP18" s="20"/>
      <c r="GU18" s="20"/>
      <c r="GZ18" s="20"/>
      <c r="HF18" s="20"/>
      <c r="HG18" s="20"/>
      <c r="HO18" s="20"/>
      <c r="HT18" s="20"/>
      <c r="HY18" s="20"/>
      <c r="ID18" s="20"/>
      <c r="IJ18" s="20"/>
      <c r="IK18" s="20"/>
      <c r="IS18" s="20"/>
      <c r="IX18" s="20"/>
      <c r="JC18" s="20"/>
      <c r="JH18" s="20"/>
      <c r="JN18" s="20"/>
      <c r="JO18" s="20"/>
      <c r="JW18" s="20"/>
      <c r="KB18" s="20"/>
      <c r="KG18" s="20"/>
      <c r="KL18" s="20"/>
      <c r="KR18" s="20"/>
      <c r="KS18" s="20"/>
      <c r="LA18" s="20"/>
      <c r="LF18" s="20"/>
      <c r="LK18" s="20"/>
      <c r="LP18" s="20"/>
      <c r="LV18" s="20"/>
      <c r="LW18" s="20"/>
      <c r="ME18" s="20"/>
      <c r="MJ18" s="20"/>
      <c r="MO18" s="20"/>
      <c r="MU18" s="20"/>
      <c r="MV18" s="20"/>
      <c r="ND18" s="20"/>
      <c r="NI18" s="20"/>
      <c r="NN18" s="20"/>
      <c r="NS18" s="20"/>
      <c r="NY18" s="20"/>
      <c r="NZ18" s="20"/>
      <c r="OH18" s="20"/>
      <c r="OM18" s="20"/>
      <c r="OR18" s="20"/>
      <c r="OW18" s="20"/>
      <c r="PC18" s="20"/>
      <c r="PD18" s="20"/>
      <c r="PL18" s="20"/>
      <c r="PQ18" s="20"/>
      <c r="PV18" s="20"/>
      <c r="QA18" s="20"/>
      <c r="QG18" s="20"/>
      <c r="QH18" s="20"/>
      <c r="QP18" s="20"/>
      <c r="QU18" s="20"/>
      <c r="QZ18" s="20"/>
      <c r="RE18" s="20"/>
      <c r="RI18">
        <v>30600000</v>
      </c>
      <c r="RJ18" s="20">
        <v>48000</v>
      </c>
      <c r="RK18">
        <v>23136000</v>
      </c>
      <c r="RL18">
        <v>118</v>
      </c>
      <c r="RM18">
        <v>6018000</v>
      </c>
    </row>
    <row r="19" spans="1:481" x14ac:dyDescent="0.45">
      <c r="A19" s="7" t="s">
        <v>136</v>
      </c>
      <c r="D19" s="20"/>
      <c r="E19" s="20"/>
      <c r="M19" s="20"/>
      <c r="R19" s="20"/>
      <c r="W19" s="20"/>
      <c r="AB19" s="20"/>
      <c r="AH19" s="20"/>
      <c r="AI19" s="20"/>
      <c r="AQ19" s="20"/>
      <c r="AV19" s="20"/>
      <c r="BA19" s="20"/>
      <c r="BF19" s="20"/>
      <c r="BL19" s="20"/>
      <c r="BM19" s="20"/>
      <c r="BU19" s="20"/>
      <c r="BZ19" s="20"/>
      <c r="CE19" s="20"/>
      <c r="CJ19" s="20"/>
      <c r="CP19" s="20"/>
      <c r="CQ19" s="20"/>
      <c r="CY19" s="20"/>
      <c r="DD19" s="20"/>
      <c r="DI19" s="20"/>
      <c r="DN19" s="20"/>
      <c r="DR19">
        <v>28000000</v>
      </c>
      <c r="DS19">
        <v>28000000</v>
      </c>
      <c r="DT19" s="20">
        <v>39000</v>
      </c>
      <c r="DU19" s="20">
        <v>39000</v>
      </c>
      <c r="DV19">
        <v>22698000</v>
      </c>
      <c r="DW19">
        <v>22698000</v>
      </c>
      <c r="DX19">
        <v>118</v>
      </c>
      <c r="DY19">
        <v>118</v>
      </c>
      <c r="DZ19">
        <v>4720000</v>
      </c>
      <c r="EA19">
        <v>4720000</v>
      </c>
      <c r="EB19">
        <v>28000000</v>
      </c>
      <c r="EC19" s="20">
        <v>39000</v>
      </c>
      <c r="ED19">
        <v>22698000</v>
      </c>
      <c r="EE19">
        <v>118</v>
      </c>
      <c r="EF19">
        <v>4720000</v>
      </c>
      <c r="EG19">
        <v>28000000</v>
      </c>
      <c r="EH19" s="20">
        <v>39000</v>
      </c>
      <c r="EI19">
        <v>22698000</v>
      </c>
      <c r="EJ19">
        <v>118</v>
      </c>
      <c r="EK19">
        <v>4720000</v>
      </c>
      <c r="EL19">
        <v>28000000</v>
      </c>
      <c r="EM19" s="20">
        <v>39000</v>
      </c>
      <c r="EN19">
        <v>22698000</v>
      </c>
      <c r="EO19">
        <v>118</v>
      </c>
      <c r="EP19">
        <v>4720000</v>
      </c>
      <c r="EQ19">
        <v>28000000</v>
      </c>
      <c r="ER19" s="20">
        <v>39000</v>
      </c>
      <c r="ES19">
        <v>22698000</v>
      </c>
      <c r="ET19">
        <v>118</v>
      </c>
      <c r="EU19">
        <v>4720000</v>
      </c>
      <c r="EX19" s="20"/>
      <c r="EY19" s="20"/>
      <c r="FG19" s="20"/>
      <c r="FL19" s="20"/>
      <c r="FQ19" s="20"/>
      <c r="FV19" s="20"/>
      <c r="GB19" s="20"/>
      <c r="GC19" s="20"/>
      <c r="GK19" s="20"/>
      <c r="GP19" s="20"/>
      <c r="GU19" s="20"/>
      <c r="GZ19" s="20"/>
      <c r="HF19" s="20"/>
      <c r="HG19" s="20"/>
      <c r="HO19" s="20"/>
      <c r="HT19" s="20"/>
      <c r="HY19" s="20"/>
      <c r="ID19" s="20"/>
      <c r="IJ19" s="20"/>
      <c r="IK19" s="20"/>
      <c r="IS19" s="20"/>
      <c r="IX19" s="20"/>
      <c r="JC19" s="20"/>
      <c r="JH19" s="20"/>
      <c r="JN19" s="20"/>
      <c r="JO19" s="20"/>
      <c r="JW19" s="20"/>
      <c r="KB19" s="20"/>
      <c r="KG19" s="20"/>
      <c r="KL19" s="20"/>
      <c r="KR19" s="20"/>
      <c r="KS19" s="20"/>
      <c r="LA19" s="20"/>
      <c r="LF19" s="20"/>
      <c r="LK19" s="20"/>
      <c r="LP19" s="20"/>
      <c r="LV19" s="20"/>
      <c r="LW19" s="20"/>
      <c r="ME19" s="20"/>
      <c r="MJ19" s="20"/>
      <c r="MO19" s="20"/>
      <c r="MU19" s="20"/>
      <c r="MV19" s="20"/>
      <c r="ND19" s="20"/>
      <c r="NI19" s="20"/>
      <c r="NN19" s="20"/>
      <c r="NS19" s="20"/>
      <c r="NY19" s="20"/>
      <c r="NZ19" s="20"/>
      <c r="OH19" s="20"/>
      <c r="OM19" s="20"/>
      <c r="OR19" s="20"/>
      <c r="OW19" s="20"/>
      <c r="PC19" s="20"/>
      <c r="PD19" s="20"/>
      <c r="PL19" s="20"/>
      <c r="PQ19" s="20"/>
      <c r="PV19" s="20"/>
      <c r="QA19" s="20"/>
      <c r="QG19" s="20"/>
      <c r="QH19" s="20"/>
      <c r="QP19" s="20"/>
      <c r="QU19" s="20"/>
      <c r="QZ19" s="20"/>
      <c r="RE19" s="20"/>
      <c r="RI19">
        <v>28000000</v>
      </c>
      <c r="RJ19" s="20">
        <v>39000</v>
      </c>
      <c r="RK19">
        <v>22698000</v>
      </c>
      <c r="RL19">
        <v>118</v>
      </c>
      <c r="RM19">
        <v>4720000</v>
      </c>
    </row>
    <row r="20" spans="1:481" x14ac:dyDescent="0.45">
      <c r="A20" s="7" t="s">
        <v>137</v>
      </c>
      <c r="D20" s="20"/>
      <c r="E20" s="20"/>
      <c r="M20" s="20"/>
      <c r="R20" s="20"/>
      <c r="W20" s="20"/>
      <c r="AB20" s="20"/>
      <c r="AH20" s="20"/>
      <c r="AI20" s="20"/>
      <c r="AQ20" s="20"/>
      <c r="AV20" s="20"/>
      <c r="BA20" s="20"/>
      <c r="BF20" s="20"/>
      <c r="BL20" s="20"/>
      <c r="BM20" s="20"/>
      <c r="BU20" s="20"/>
      <c r="BZ20" s="20"/>
      <c r="CE20" s="20"/>
      <c r="CJ20" s="20"/>
      <c r="CN20">
        <v>1800000</v>
      </c>
      <c r="CO20">
        <v>1800000</v>
      </c>
      <c r="CP20" s="20">
        <v>13000</v>
      </c>
      <c r="CQ20" s="20">
        <v>13000</v>
      </c>
      <c r="CR20">
        <v>884000</v>
      </c>
      <c r="CS20">
        <v>884000</v>
      </c>
      <c r="CT20">
        <v>82</v>
      </c>
      <c r="CU20">
        <v>82</v>
      </c>
      <c r="CV20">
        <v>984000</v>
      </c>
      <c r="CW20">
        <v>984000</v>
      </c>
      <c r="CX20">
        <v>1800000</v>
      </c>
      <c r="CY20" s="20">
        <v>13000</v>
      </c>
      <c r="CZ20">
        <v>884000</v>
      </c>
      <c r="DA20">
        <v>82</v>
      </c>
      <c r="DB20">
        <v>984000</v>
      </c>
      <c r="DC20">
        <v>1800000</v>
      </c>
      <c r="DD20" s="20">
        <v>13000</v>
      </c>
      <c r="DE20">
        <v>884000</v>
      </c>
      <c r="DF20">
        <v>82</v>
      </c>
      <c r="DG20">
        <v>984000</v>
      </c>
      <c r="DH20">
        <v>1800000</v>
      </c>
      <c r="DI20" s="20">
        <v>13000</v>
      </c>
      <c r="DJ20">
        <v>884000</v>
      </c>
      <c r="DK20">
        <v>82</v>
      </c>
      <c r="DL20">
        <v>984000</v>
      </c>
      <c r="DM20">
        <v>1800000</v>
      </c>
      <c r="DN20" s="20">
        <v>13000</v>
      </c>
      <c r="DO20">
        <v>884000</v>
      </c>
      <c r="DP20">
        <v>82</v>
      </c>
      <c r="DQ20">
        <v>984000</v>
      </c>
      <c r="DT20" s="20"/>
      <c r="DU20" s="20"/>
      <c r="EC20" s="20"/>
      <c r="EH20" s="20"/>
      <c r="EM20" s="20"/>
      <c r="ER20" s="20"/>
      <c r="EX20" s="20"/>
      <c r="EY20" s="20"/>
      <c r="FG20" s="20"/>
      <c r="FL20" s="20"/>
      <c r="FQ20" s="20"/>
      <c r="FV20" s="20"/>
      <c r="GB20" s="20"/>
      <c r="GC20" s="20"/>
      <c r="GK20" s="20"/>
      <c r="GP20" s="20"/>
      <c r="GU20" s="20"/>
      <c r="GZ20" s="20"/>
      <c r="HF20" s="20"/>
      <c r="HG20" s="20"/>
      <c r="HO20" s="20"/>
      <c r="HT20" s="20"/>
      <c r="HY20" s="20"/>
      <c r="ID20" s="20"/>
      <c r="IJ20" s="20"/>
      <c r="IK20" s="20"/>
      <c r="IS20" s="20"/>
      <c r="IX20" s="20"/>
      <c r="JC20" s="20"/>
      <c r="JH20" s="20"/>
      <c r="JN20" s="20"/>
      <c r="JO20" s="20"/>
      <c r="JW20" s="20"/>
      <c r="KB20" s="20"/>
      <c r="KG20" s="20"/>
      <c r="KL20" s="20"/>
      <c r="KR20" s="20"/>
      <c r="KS20" s="20"/>
      <c r="LA20" s="20"/>
      <c r="LF20" s="20"/>
      <c r="LK20" s="20"/>
      <c r="LP20" s="20"/>
      <c r="LV20" s="20"/>
      <c r="LW20" s="20"/>
      <c r="ME20" s="20"/>
      <c r="MJ20" s="20"/>
      <c r="MO20" s="20"/>
      <c r="MU20" s="20"/>
      <c r="MV20" s="20"/>
      <c r="ND20" s="20"/>
      <c r="NI20" s="20"/>
      <c r="NN20" s="20"/>
      <c r="NS20" s="20"/>
      <c r="NY20" s="20"/>
      <c r="NZ20" s="20"/>
      <c r="OH20" s="20"/>
      <c r="OM20" s="20"/>
      <c r="OR20" s="20"/>
      <c r="OW20" s="20"/>
      <c r="PC20" s="20"/>
      <c r="PD20" s="20"/>
      <c r="PL20" s="20"/>
      <c r="PQ20" s="20"/>
      <c r="PV20" s="20"/>
      <c r="QA20" s="20"/>
      <c r="QG20" s="20"/>
      <c r="QH20" s="20"/>
      <c r="QP20" s="20"/>
      <c r="QU20" s="20"/>
      <c r="QZ20" s="20"/>
      <c r="RE20" s="20"/>
      <c r="RI20">
        <v>1800000</v>
      </c>
      <c r="RJ20" s="20">
        <v>13000</v>
      </c>
      <c r="RK20">
        <v>884000</v>
      </c>
      <c r="RL20">
        <v>82</v>
      </c>
      <c r="RM20">
        <v>984000</v>
      </c>
    </row>
    <row r="21" spans="1:481" x14ac:dyDescent="0.45">
      <c r="A21" s="7" t="s">
        <v>138</v>
      </c>
      <c r="D21" s="20"/>
      <c r="E21" s="20"/>
      <c r="M21" s="20"/>
      <c r="R21" s="20"/>
      <c r="W21" s="20"/>
      <c r="AB21" s="20"/>
      <c r="AH21" s="20"/>
      <c r="AI21" s="20"/>
      <c r="AQ21" s="20"/>
      <c r="AV21" s="20"/>
      <c r="BA21" s="20"/>
      <c r="BF21" s="20"/>
      <c r="BL21" s="20"/>
      <c r="BM21" s="20"/>
      <c r="BU21" s="20"/>
      <c r="BZ21" s="20"/>
      <c r="CE21" s="20"/>
      <c r="CJ21" s="20"/>
      <c r="CP21" s="20"/>
      <c r="CQ21" s="20"/>
      <c r="CY21" s="20"/>
      <c r="DD21" s="20"/>
      <c r="DI21" s="20"/>
      <c r="DN21" s="20"/>
      <c r="DT21" s="20"/>
      <c r="DU21" s="20"/>
      <c r="EC21" s="20"/>
      <c r="EH21" s="20"/>
      <c r="EM21" s="20"/>
      <c r="ER21" s="20"/>
      <c r="EX21" s="20"/>
      <c r="EY21" s="20"/>
      <c r="FG21" s="20"/>
      <c r="FL21" s="20"/>
      <c r="FQ21" s="20"/>
      <c r="FV21" s="20"/>
      <c r="GB21" s="20"/>
      <c r="GC21" s="20"/>
      <c r="GK21" s="20"/>
      <c r="GP21" s="20"/>
      <c r="GU21" s="20"/>
      <c r="GZ21" s="20"/>
      <c r="HF21" s="20"/>
      <c r="HG21" s="20"/>
      <c r="HO21" s="20"/>
      <c r="HT21" s="20"/>
      <c r="HY21" s="20"/>
      <c r="ID21" s="20"/>
      <c r="IJ21" s="20"/>
      <c r="IK21" s="20"/>
      <c r="IS21" s="20"/>
      <c r="IX21" s="20"/>
      <c r="JC21" s="20"/>
      <c r="JH21" s="20"/>
      <c r="JN21" s="20"/>
      <c r="JO21" s="20"/>
      <c r="JW21" s="20"/>
      <c r="KB21" s="20"/>
      <c r="KG21" s="20"/>
      <c r="KL21" s="20"/>
      <c r="KR21" s="20"/>
      <c r="KS21" s="20"/>
      <c r="LA21" s="20"/>
      <c r="LF21" s="20"/>
      <c r="LK21" s="20"/>
      <c r="LP21" s="20"/>
      <c r="LV21" s="20"/>
      <c r="LW21" s="20"/>
      <c r="ME21" s="20"/>
      <c r="MJ21" s="20"/>
      <c r="MO21" s="20"/>
      <c r="MU21" s="20"/>
      <c r="MV21" s="20"/>
      <c r="ND21" s="20"/>
      <c r="NI21" s="20"/>
      <c r="NN21" s="20"/>
      <c r="NS21" s="20"/>
      <c r="NY21" s="20"/>
      <c r="NZ21" s="20"/>
      <c r="OH21" s="20"/>
      <c r="OM21" s="20"/>
      <c r="OR21" s="20"/>
      <c r="OW21" s="20"/>
      <c r="PA21">
        <v>300000</v>
      </c>
      <c r="PB21">
        <v>300000</v>
      </c>
      <c r="PC21" s="20">
        <v>14000</v>
      </c>
      <c r="PD21" s="20">
        <v>14000</v>
      </c>
      <c r="PE21">
        <v>140000</v>
      </c>
      <c r="PF21">
        <v>140000</v>
      </c>
      <c r="PG21">
        <v>10</v>
      </c>
      <c r="PH21">
        <v>10</v>
      </c>
      <c r="PI21">
        <v>150000</v>
      </c>
      <c r="PJ21">
        <v>150000</v>
      </c>
      <c r="PK21">
        <v>300000</v>
      </c>
      <c r="PL21" s="20">
        <v>14000</v>
      </c>
      <c r="PM21">
        <v>140000</v>
      </c>
      <c r="PN21">
        <v>10</v>
      </c>
      <c r="PO21">
        <v>150000</v>
      </c>
      <c r="PP21">
        <v>300000</v>
      </c>
      <c r="PQ21" s="20">
        <v>14000</v>
      </c>
      <c r="PR21">
        <v>140000</v>
      </c>
      <c r="PS21">
        <v>10</v>
      </c>
      <c r="PT21">
        <v>150000</v>
      </c>
      <c r="PU21">
        <v>300000</v>
      </c>
      <c r="PV21" s="20">
        <v>14000</v>
      </c>
      <c r="PW21">
        <v>140000</v>
      </c>
      <c r="PX21">
        <v>10</v>
      </c>
      <c r="PY21">
        <v>150000</v>
      </c>
      <c r="PZ21">
        <v>300000</v>
      </c>
      <c r="QA21" s="20">
        <v>14000</v>
      </c>
      <c r="QB21">
        <v>140000</v>
      </c>
      <c r="QC21">
        <v>10</v>
      </c>
      <c r="QD21">
        <v>150000</v>
      </c>
      <c r="QG21" s="20"/>
      <c r="QH21" s="20"/>
      <c r="QP21" s="20"/>
      <c r="QU21" s="20"/>
      <c r="QZ21" s="20"/>
      <c r="RE21" s="20"/>
      <c r="RI21">
        <v>300000</v>
      </c>
      <c r="RJ21" s="20">
        <v>14000</v>
      </c>
      <c r="RK21">
        <v>140000</v>
      </c>
      <c r="RL21">
        <v>10</v>
      </c>
      <c r="RM21">
        <v>150000</v>
      </c>
    </row>
    <row r="22" spans="1:481" x14ac:dyDescent="0.45">
      <c r="A22" s="7" t="s">
        <v>139</v>
      </c>
      <c r="D22" s="20"/>
      <c r="E22" s="20"/>
      <c r="M22" s="20"/>
      <c r="R22" s="20"/>
      <c r="W22" s="20"/>
      <c r="AB22" s="20"/>
      <c r="AH22" s="20"/>
      <c r="AI22" s="20"/>
      <c r="AQ22" s="20"/>
      <c r="AV22" s="20"/>
      <c r="BA22" s="20"/>
      <c r="BF22" s="20"/>
      <c r="BL22" s="20"/>
      <c r="BM22" s="20"/>
      <c r="BU22" s="20"/>
      <c r="BZ22" s="20"/>
      <c r="CE22" s="20"/>
      <c r="CJ22" s="20"/>
      <c r="CP22" s="20"/>
      <c r="CQ22" s="20"/>
      <c r="CY22" s="20"/>
      <c r="DD22" s="20"/>
      <c r="DI22" s="20"/>
      <c r="DN22" s="20"/>
      <c r="DT22" s="20"/>
      <c r="DU22" s="20"/>
      <c r="EC22" s="20"/>
      <c r="EH22" s="20"/>
      <c r="EM22" s="20"/>
      <c r="ER22" s="20"/>
      <c r="EX22" s="20"/>
      <c r="EY22" s="20"/>
      <c r="FG22" s="20"/>
      <c r="FL22" s="20"/>
      <c r="FQ22" s="20"/>
      <c r="FV22" s="20"/>
      <c r="GB22" s="20"/>
      <c r="GC22" s="20"/>
      <c r="GK22" s="20"/>
      <c r="GP22" s="20"/>
      <c r="GU22" s="20"/>
      <c r="GZ22" s="20"/>
      <c r="HF22" s="20"/>
      <c r="HG22" s="20"/>
      <c r="HO22" s="20"/>
      <c r="HT22" s="20"/>
      <c r="HY22" s="20"/>
      <c r="ID22" s="20"/>
      <c r="IJ22" s="20"/>
      <c r="IK22" s="20"/>
      <c r="IS22" s="20"/>
      <c r="IX22" s="20"/>
      <c r="JC22" s="20"/>
      <c r="JH22" s="20"/>
      <c r="JN22" s="20"/>
      <c r="JO22" s="20"/>
      <c r="JW22" s="20"/>
      <c r="KB22" s="20"/>
      <c r="KG22" s="20"/>
      <c r="KL22" s="20"/>
      <c r="KR22" s="20"/>
      <c r="KS22" s="20"/>
      <c r="LA22" s="20"/>
      <c r="LF22" s="20"/>
      <c r="LK22" s="20"/>
      <c r="LP22" s="20"/>
      <c r="LV22" s="20"/>
      <c r="LW22" s="20"/>
      <c r="ME22" s="20"/>
      <c r="MJ22" s="20"/>
      <c r="MO22" s="20"/>
      <c r="MU22" s="20"/>
      <c r="MV22" s="20"/>
      <c r="ND22" s="20"/>
      <c r="NI22" s="20"/>
      <c r="NN22" s="20"/>
      <c r="NS22" s="20"/>
      <c r="NW22">
        <v>7425000</v>
      </c>
      <c r="NX22">
        <v>7425000</v>
      </c>
      <c r="NY22" s="20">
        <v>20000</v>
      </c>
      <c r="NZ22" s="20">
        <v>20000</v>
      </c>
      <c r="OA22">
        <v>6400000</v>
      </c>
      <c r="OB22">
        <v>6400000</v>
      </c>
      <c r="OC22">
        <v>130</v>
      </c>
      <c r="OD22">
        <v>130</v>
      </c>
      <c r="OE22">
        <v>2145000</v>
      </c>
      <c r="OF22">
        <v>2145000</v>
      </c>
      <c r="OG22">
        <v>7425000</v>
      </c>
      <c r="OH22" s="20">
        <v>20000</v>
      </c>
      <c r="OI22">
        <v>6400000</v>
      </c>
      <c r="OJ22">
        <v>130</v>
      </c>
      <c r="OK22">
        <v>2145000</v>
      </c>
      <c r="OL22">
        <v>7425000</v>
      </c>
      <c r="OM22" s="20">
        <v>20000</v>
      </c>
      <c r="ON22">
        <v>6400000</v>
      </c>
      <c r="OO22">
        <v>130</v>
      </c>
      <c r="OP22">
        <v>2145000</v>
      </c>
      <c r="OQ22">
        <v>7425000</v>
      </c>
      <c r="OR22" s="20">
        <v>20000</v>
      </c>
      <c r="OS22">
        <v>6400000</v>
      </c>
      <c r="OT22">
        <v>130</v>
      </c>
      <c r="OU22">
        <v>2145000</v>
      </c>
      <c r="OV22">
        <v>7425000</v>
      </c>
      <c r="OW22" s="20">
        <v>20000</v>
      </c>
      <c r="OX22">
        <v>6400000</v>
      </c>
      <c r="OY22">
        <v>130</v>
      </c>
      <c r="OZ22">
        <v>2145000</v>
      </c>
      <c r="PC22" s="20"/>
      <c r="PD22" s="20"/>
      <c r="PL22" s="20"/>
      <c r="PQ22" s="20"/>
      <c r="PV22" s="20"/>
      <c r="QA22" s="20"/>
      <c r="QG22" s="20"/>
      <c r="QH22" s="20"/>
      <c r="QP22" s="20"/>
      <c r="QU22" s="20"/>
      <c r="QZ22" s="20"/>
      <c r="RE22" s="20"/>
      <c r="RI22">
        <v>7425000</v>
      </c>
      <c r="RJ22" s="20">
        <v>20000</v>
      </c>
      <c r="RK22">
        <v>6400000</v>
      </c>
      <c r="RL22">
        <v>130</v>
      </c>
      <c r="RM22">
        <v>2145000</v>
      </c>
    </row>
    <row r="23" spans="1:481" x14ac:dyDescent="0.45">
      <c r="A23" s="7" t="s">
        <v>140</v>
      </c>
      <c r="D23" s="20"/>
      <c r="E23" s="20"/>
      <c r="M23" s="20"/>
      <c r="R23" s="20"/>
      <c r="W23" s="20"/>
      <c r="AB23" s="20"/>
      <c r="AH23" s="20"/>
      <c r="AI23" s="20"/>
      <c r="AQ23" s="20"/>
      <c r="AV23" s="20"/>
      <c r="BA23" s="20"/>
      <c r="BF23" s="20"/>
      <c r="BL23" s="20"/>
      <c r="BM23" s="20"/>
      <c r="BU23" s="20"/>
      <c r="BZ23" s="20"/>
      <c r="CE23" s="20"/>
      <c r="CJ23" s="20"/>
      <c r="CP23" s="20"/>
      <c r="CQ23" s="20"/>
      <c r="CY23" s="20"/>
      <c r="DD23" s="20"/>
      <c r="DI23" s="20"/>
      <c r="DN23" s="20"/>
      <c r="DT23" s="20"/>
      <c r="DU23" s="20"/>
      <c r="EC23" s="20"/>
      <c r="EH23" s="20"/>
      <c r="EM23" s="20"/>
      <c r="ER23" s="20"/>
      <c r="EV23">
        <v>12249650</v>
      </c>
      <c r="EW23">
        <v>12249650</v>
      </c>
      <c r="EX23" s="20">
        <v>37900</v>
      </c>
      <c r="EY23" s="20">
        <v>37900</v>
      </c>
      <c r="EZ23">
        <v>10460400</v>
      </c>
      <c r="FA23">
        <v>10460400</v>
      </c>
      <c r="FB23">
        <v>74</v>
      </c>
      <c r="FC23">
        <v>74</v>
      </c>
      <c r="FD23">
        <v>2589926</v>
      </c>
      <c r="FE23">
        <v>2589926</v>
      </c>
      <c r="FF23">
        <v>12249650</v>
      </c>
      <c r="FG23" s="20">
        <v>37900</v>
      </c>
      <c r="FH23">
        <v>10460400</v>
      </c>
      <c r="FI23">
        <v>74</v>
      </c>
      <c r="FJ23">
        <v>2589926</v>
      </c>
      <c r="FK23">
        <v>12249650</v>
      </c>
      <c r="FL23" s="20">
        <v>37900</v>
      </c>
      <c r="FM23">
        <v>10460400</v>
      </c>
      <c r="FN23">
        <v>74</v>
      </c>
      <c r="FO23">
        <v>2589926</v>
      </c>
      <c r="FP23">
        <v>12249650</v>
      </c>
      <c r="FQ23" s="20">
        <v>37900</v>
      </c>
      <c r="FR23">
        <v>10460400</v>
      </c>
      <c r="FS23">
        <v>74</v>
      </c>
      <c r="FT23">
        <v>2589926</v>
      </c>
      <c r="FU23">
        <v>12249650</v>
      </c>
      <c r="FV23" s="20">
        <v>37900</v>
      </c>
      <c r="FW23">
        <v>10460400</v>
      </c>
      <c r="FX23">
        <v>74</v>
      </c>
      <c r="FY23">
        <v>2589926</v>
      </c>
      <c r="GB23" s="20"/>
      <c r="GC23" s="20"/>
      <c r="GK23" s="20"/>
      <c r="GP23" s="20"/>
      <c r="GU23" s="20"/>
      <c r="GZ23" s="20"/>
      <c r="HF23" s="20"/>
      <c r="HG23" s="20"/>
      <c r="HO23" s="20"/>
      <c r="HT23" s="20"/>
      <c r="HY23" s="20"/>
      <c r="ID23" s="20"/>
      <c r="IJ23" s="20"/>
      <c r="IK23" s="20"/>
      <c r="IS23" s="20"/>
      <c r="IX23" s="20"/>
      <c r="JC23" s="20"/>
      <c r="JH23" s="20"/>
      <c r="JN23" s="20"/>
      <c r="JO23" s="20"/>
      <c r="JW23" s="20"/>
      <c r="KB23" s="20"/>
      <c r="KG23" s="20"/>
      <c r="KL23" s="20"/>
      <c r="KR23" s="20"/>
      <c r="KS23" s="20"/>
      <c r="LA23" s="20"/>
      <c r="LF23" s="20"/>
      <c r="LK23" s="20"/>
      <c r="LP23" s="20"/>
      <c r="LV23" s="20"/>
      <c r="LW23" s="20"/>
      <c r="ME23" s="20"/>
      <c r="MJ23" s="20"/>
      <c r="MO23" s="20"/>
      <c r="MU23" s="20"/>
      <c r="MV23" s="20"/>
      <c r="ND23" s="20"/>
      <c r="NI23" s="20"/>
      <c r="NN23" s="20"/>
      <c r="NS23" s="20"/>
      <c r="NY23" s="20"/>
      <c r="NZ23" s="20"/>
      <c r="OH23" s="20"/>
      <c r="OM23" s="20"/>
      <c r="OR23" s="20"/>
      <c r="OW23" s="20"/>
      <c r="PC23" s="20"/>
      <c r="PD23" s="20"/>
      <c r="PL23" s="20"/>
      <c r="PQ23" s="20"/>
      <c r="PV23" s="20"/>
      <c r="QA23" s="20"/>
      <c r="QG23" s="20"/>
      <c r="QH23" s="20"/>
      <c r="QP23" s="20"/>
      <c r="QU23" s="20"/>
      <c r="QZ23" s="20"/>
      <c r="RE23" s="20"/>
      <c r="RI23">
        <v>12249650</v>
      </c>
      <c r="RJ23" s="20">
        <v>37900</v>
      </c>
      <c r="RK23">
        <v>10460400</v>
      </c>
      <c r="RL23">
        <v>74</v>
      </c>
      <c r="RM23">
        <v>2589926</v>
      </c>
    </row>
    <row r="24" spans="1:481" x14ac:dyDescent="0.45">
      <c r="A24" s="7" t="s">
        <v>141</v>
      </c>
      <c r="D24" s="20"/>
      <c r="E24" s="20"/>
      <c r="M24" s="20"/>
      <c r="R24" s="20"/>
      <c r="W24" s="20"/>
      <c r="AB24" s="20"/>
      <c r="AF24">
        <v>600000000</v>
      </c>
      <c r="AG24">
        <v>600000000</v>
      </c>
      <c r="AH24" s="20">
        <v>700000</v>
      </c>
      <c r="AI24" s="20">
        <v>700000</v>
      </c>
      <c r="AJ24">
        <v>210000000</v>
      </c>
      <c r="AK24">
        <v>210000000</v>
      </c>
      <c r="AL24">
        <v>450</v>
      </c>
      <c r="AM24">
        <v>450</v>
      </c>
      <c r="AN24">
        <v>360000000</v>
      </c>
      <c r="AO24">
        <v>360000000</v>
      </c>
      <c r="AP24">
        <v>600000000</v>
      </c>
      <c r="AQ24" s="20">
        <v>700000</v>
      </c>
      <c r="AR24">
        <v>210000000</v>
      </c>
      <c r="AS24">
        <v>450</v>
      </c>
      <c r="AT24">
        <v>360000000</v>
      </c>
      <c r="AU24">
        <v>600000000</v>
      </c>
      <c r="AV24" s="20">
        <v>700000</v>
      </c>
      <c r="AW24">
        <v>210000000</v>
      </c>
      <c r="AX24">
        <v>450</v>
      </c>
      <c r="AY24">
        <v>360000000</v>
      </c>
      <c r="AZ24">
        <v>600000000</v>
      </c>
      <c r="BA24" s="20">
        <v>700000</v>
      </c>
      <c r="BB24">
        <v>210000000</v>
      </c>
      <c r="BC24">
        <v>450</v>
      </c>
      <c r="BD24">
        <v>360000000</v>
      </c>
      <c r="BE24">
        <v>600000000</v>
      </c>
      <c r="BF24" s="20">
        <v>700000</v>
      </c>
      <c r="BG24">
        <v>210000000</v>
      </c>
      <c r="BH24">
        <v>450</v>
      </c>
      <c r="BI24">
        <v>360000000</v>
      </c>
      <c r="BJ24">
        <v>1440000</v>
      </c>
      <c r="BK24">
        <v>1440000</v>
      </c>
      <c r="BL24" s="20">
        <v>20800</v>
      </c>
      <c r="BM24" s="20">
        <v>20800</v>
      </c>
      <c r="BN24">
        <v>1040000</v>
      </c>
      <c r="BO24">
        <v>1040000</v>
      </c>
      <c r="BP24">
        <v>30</v>
      </c>
      <c r="BQ24">
        <v>30</v>
      </c>
      <c r="BR24">
        <v>540000</v>
      </c>
      <c r="BS24">
        <v>540000</v>
      </c>
      <c r="BT24">
        <v>1440000</v>
      </c>
      <c r="BU24" s="20">
        <v>20800</v>
      </c>
      <c r="BV24">
        <v>1040000</v>
      </c>
      <c r="BW24">
        <v>30</v>
      </c>
      <c r="BX24">
        <v>540000</v>
      </c>
      <c r="BY24">
        <v>1440000</v>
      </c>
      <c r="BZ24" s="20">
        <v>20800</v>
      </c>
      <c r="CA24">
        <v>1040000</v>
      </c>
      <c r="CB24">
        <v>30</v>
      </c>
      <c r="CC24">
        <v>540000</v>
      </c>
      <c r="CD24">
        <v>1440000</v>
      </c>
      <c r="CE24" s="20">
        <v>20800</v>
      </c>
      <c r="CF24">
        <v>1040000</v>
      </c>
      <c r="CG24">
        <v>30</v>
      </c>
      <c r="CH24">
        <v>540000</v>
      </c>
      <c r="CI24">
        <v>1440000</v>
      </c>
      <c r="CJ24" s="20">
        <v>20800</v>
      </c>
      <c r="CK24">
        <v>1040000</v>
      </c>
      <c r="CL24">
        <v>30</v>
      </c>
      <c r="CM24">
        <v>540000</v>
      </c>
      <c r="CP24" s="20"/>
      <c r="CQ24" s="20"/>
      <c r="CY24" s="20"/>
      <c r="DD24" s="20"/>
      <c r="DI24" s="20"/>
      <c r="DN24" s="20"/>
      <c r="DT24" s="20"/>
      <c r="DU24" s="20"/>
      <c r="EC24" s="20"/>
      <c r="EH24" s="20"/>
      <c r="EM24" s="20"/>
      <c r="ER24" s="20"/>
      <c r="EX24" s="20"/>
      <c r="EY24" s="20"/>
      <c r="FG24" s="20"/>
      <c r="FL24" s="20"/>
      <c r="FQ24" s="20"/>
      <c r="FV24" s="20"/>
      <c r="FZ24">
        <v>10750000</v>
      </c>
      <c r="GA24">
        <v>10750000</v>
      </c>
      <c r="GB24" s="20">
        <v>49999</v>
      </c>
      <c r="GC24" s="20">
        <v>49999</v>
      </c>
      <c r="GD24">
        <v>11149777</v>
      </c>
      <c r="GE24">
        <v>11149777</v>
      </c>
      <c r="GF24">
        <v>27</v>
      </c>
      <c r="GG24">
        <v>27</v>
      </c>
      <c r="GH24">
        <v>1161000</v>
      </c>
      <c r="GI24">
        <v>1161000</v>
      </c>
      <c r="GJ24">
        <v>10750000</v>
      </c>
      <c r="GK24" s="20">
        <v>49999</v>
      </c>
      <c r="GL24">
        <v>11149777</v>
      </c>
      <c r="GM24">
        <v>27</v>
      </c>
      <c r="GN24">
        <v>1161000</v>
      </c>
      <c r="GO24">
        <v>10750000</v>
      </c>
      <c r="GP24" s="20">
        <v>49999</v>
      </c>
      <c r="GQ24">
        <v>11149777</v>
      </c>
      <c r="GR24">
        <v>27</v>
      </c>
      <c r="GS24">
        <v>1161000</v>
      </c>
      <c r="GT24">
        <v>10750000</v>
      </c>
      <c r="GU24" s="20">
        <v>49999</v>
      </c>
      <c r="GV24">
        <v>11149777</v>
      </c>
      <c r="GW24">
        <v>27</v>
      </c>
      <c r="GX24">
        <v>1161000</v>
      </c>
      <c r="GY24">
        <v>10750000</v>
      </c>
      <c r="GZ24" s="20">
        <v>49999</v>
      </c>
      <c r="HA24">
        <v>11149777</v>
      </c>
      <c r="HB24">
        <v>27</v>
      </c>
      <c r="HC24">
        <v>1161000</v>
      </c>
      <c r="HF24" s="20"/>
      <c r="HG24" s="20"/>
      <c r="HO24" s="20"/>
      <c r="HT24" s="20"/>
      <c r="HY24" s="20"/>
      <c r="ID24" s="20"/>
      <c r="IH24">
        <v>7296000</v>
      </c>
      <c r="II24">
        <v>7296000</v>
      </c>
      <c r="IJ24" s="20">
        <v>25000</v>
      </c>
      <c r="IK24" s="20">
        <v>25000</v>
      </c>
      <c r="IL24">
        <v>7500000</v>
      </c>
      <c r="IM24">
        <v>7500000</v>
      </c>
      <c r="IN24">
        <v>20</v>
      </c>
      <c r="IO24">
        <v>20</v>
      </c>
      <c r="IP24">
        <v>456000</v>
      </c>
      <c r="IQ24">
        <v>456000</v>
      </c>
      <c r="IR24">
        <v>7296000</v>
      </c>
      <c r="IS24" s="20">
        <v>25000</v>
      </c>
      <c r="IT24">
        <v>7500000</v>
      </c>
      <c r="IU24">
        <v>20</v>
      </c>
      <c r="IV24">
        <v>456000</v>
      </c>
      <c r="IW24">
        <v>7296000</v>
      </c>
      <c r="IX24" s="20">
        <v>25000</v>
      </c>
      <c r="IY24">
        <v>7500000</v>
      </c>
      <c r="IZ24">
        <v>20</v>
      </c>
      <c r="JA24">
        <v>456000</v>
      </c>
      <c r="JB24">
        <v>7296000</v>
      </c>
      <c r="JC24" s="20">
        <v>25000</v>
      </c>
      <c r="JD24">
        <v>7500000</v>
      </c>
      <c r="JE24">
        <v>20</v>
      </c>
      <c r="JF24">
        <v>456000</v>
      </c>
      <c r="JG24">
        <v>7296000</v>
      </c>
      <c r="JH24" s="20">
        <v>25000</v>
      </c>
      <c r="JI24">
        <v>7500000</v>
      </c>
      <c r="JJ24">
        <v>20</v>
      </c>
      <c r="JK24">
        <v>456000</v>
      </c>
      <c r="JN24" s="20"/>
      <c r="JO24" s="20"/>
      <c r="JW24" s="20"/>
      <c r="KB24" s="20"/>
      <c r="KG24" s="20"/>
      <c r="KL24" s="20"/>
      <c r="KR24" s="20"/>
      <c r="KS24" s="20"/>
      <c r="LA24" s="20"/>
      <c r="LF24" s="20"/>
      <c r="LK24" s="20"/>
      <c r="LP24" s="20"/>
      <c r="LT24">
        <v>50846010</v>
      </c>
      <c r="LU24">
        <v>50846010</v>
      </c>
      <c r="LV24" s="20">
        <v>13000</v>
      </c>
      <c r="LW24" s="20">
        <v>13000</v>
      </c>
      <c r="LX24">
        <v>330565777</v>
      </c>
      <c r="LY24">
        <v>330565777</v>
      </c>
      <c r="LZ24">
        <v>450</v>
      </c>
      <c r="MA24">
        <v>450</v>
      </c>
      <c r="MB24">
        <v>15</v>
      </c>
      <c r="MC24">
        <v>15</v>
      </c>
      <c r="MD24">
        <v>50846010</v>
      </c>
      <c r="ME24" s="20">
        <v>13000</v>
      </c>
      <c r="MF24">
        <v>330565777</v>
      </c>
      <c r="MG24">
        <v>450</v>
      </c>
      <c r="MH24">
        <v>15</v>
      </c>
      <c r="MI24">
        <v>50846010</v>
      </c>
      <c r="MJ24" s="20">
        <v>13000</v>
      </c>
      <c r="MK24">
        <v>330565777</v>
      </c>
      <c r="ML24">
        <v>450</v>
      </c>
      <c r="MM24">
        <v>15</v>
      </c>
      <c r="MN24">
        <v>50846010</v>
      </c>
      <c r="MO24" s="20">
        <v>13000</v>
      </c>
      <c r="MP24">
        <v>330565777</v>
      </c>
      <c r="MQ24">
        <v>450</v>
      </c>
      <c r="MR24">
        <v>15</v>
      </c>
      <c r="MU24" s="20"/>
      <c r="MV24" s="20"/>
      <c r="ND24" s="20"/>
      <c r="NI24" s="20"/>
      <c r="NN24" s="20"/>
      <c r="NR24">
        <v>50846010</v>
      </c>
      <c r="NS24" s="20">
        <v>13000</v>
      </c>
      <c r="NT24">
        <v>330565777</v>
      </c>
      <c r="NU24">
        <v>450</v>
      </c>
      <c r="NV24">
        <v>15</v>
      </c>
      <c r="NY24" s="20"/>
      <c r="NZ24" s="20"/>
      <c r="OH24" s="20"/>
      <c r="OM24" s="20"/>
      <c r="OR24" s="20"/>
      <c r="OW24" s="20"/>
      <c r="PC24" s="20"/>
      <c r="PD24" s="20"/>
      <c r="PL24" s="20"/>
      <c r="PQ24" s="20"/>
      <c r="PV24" s="20"/>
      <c r="QA24" s="20"/>
      <c r="QG24" s="20"/>
      <c r="QH24" s="20"/>
      <c r="QP24" s="20"/>
      <c r="QU24" s="20"/>
      <c r="QZ24" s="20"/>
      <c r="RE24" s="20"/>
      <c r="RI24">
        <v>670332010</v>
      </c>
      <c r="RJ24" s="20">
        <v>808799</v>
      </c>
      <c r="RK24">
        <v>560255554</v>
      </c>
      <c r="RL24">
        <v>977</v>
      </c>
      <c r="RM24">
        <v>362157015</v>
      </c>
    </row>
    <row r="25" spans="1:481" x14ac:dyDescent="0.45">
      <c r="A25" s="7" t="s">
        <v>30</v>
      </c>
      <c r="B25">
        <v>30600000</v>
      </c>
      <c r="C25">
        <v>30600000</v>
      </c>
      <c r="D25" s="20">
        <v>48000</v>
      </c>
      <c r="E25" s="20">
        <v>48000</v>
      </c>
      <c r="F25">
        <v>23136000</v>
      </c>
      <c r="G25">
        <v>23136000</v>
      </c>
      <c r="H25">
        <v>118</v>
      </c>
      <c r="I25">
        <v>118</v>
      </c>
      <c r="J25">
        <v>6018000</v>
      </c>
      <c r="K25">
        <v>6018000</v>
      </c>
      <c r="L25">
        <v>30600000</v>
      </c>
      <c r="M25" s="20">
        <v>48000</v>
      </c>
      <c r="N25">
        <v>23136000</v>
      </c>
      <c r="O25">
        <v>118</v>
      </c>
      <c r="P25">
        <v>6018000</v>
      </c>
      <c r="Q25">
        <v>30600000</v>
      </c>
      <c r="R25" s="20">
        <v>48000</v>
      </c>
      <c r="S25">
        <v>23136000</v>
      </c>
      <c r="T25">
        <v>118</v>
      </c>
      <c r="U25">
        <v>6018000</v>
      </c>
      <c r="V25">
        <v>30600000</v>
      </c>
      <c r="W25" s="20">
        <v>48000</v>
      </c>
      <c r="X25">
        <v>23136000</v>
      </c>
      <c r="Y25">
        <v>118</v>
      </c>
      <c r="Z25">
        <v>6018000</v>
      </c>
      <c r="AA25">
        <v>30600000</v>
      </c>
      <c r="AB25" s="20">
        <v>48000</v>
      </c>
      <c r="AC25">
        <v>23136000</v>
      </c>
      <c r="AD25">
        <v>118</v>
      </c>
      <c r="AE25">
        <v>6018000</v>
      </c>
      <c r="AF25">
        <v>600000000</v>
      </c>
      <c r="AG25">
        <v>600000000</v>
      </c>
      <c r="AH25" s="20">
        <v>700000</v>
      </c>
      <c r="AI25" s="20">
        <v>700000</v>
      </c>
      <c r="AJ25">
        <v>210000000</v>
      </c>
      <c r="AK25">
        <v>210000000</v>
      </c>
      <c r="AL25">
        <v>450</v>
      </c>
      <c r="AM25">
        <v>450</v>
      </c>
      <c r="AN25">
        <v>360000000</v>
      </c>
      <c r="AO25">
        <v>360000000</v>
      </c>
      <c r="AP25">
        <v>600000000</v>
      </c>
      <c r="AQ25" s="20">
        <v>700000</v>
      </c>
      <c r="AR25">
        <v>210000000</v>
      </c>
      <c r="AS25">
        <v>450</v>
      </c>
      <c r="AT25">
        <v>360000000</v>
      </c>
      <c r="AU25">
        <v>600000000</v>
      </c>
      <c r="AV25" s="20">
        <v>700000</v>
      </c>
      <c r="AW25">
        <v>210000000</v>
      </c>
      <c r="AX25">
        <v>450</v>
      </c>
      <c r="AY25">
        <v>360000000</v>
      </c>
      <c r="AZ25">
        <v>600000000</v>
      </c>
      <c r="BA25" s="20">
        <v>700000</v>
      </c>
      <c r="BB25">
        <v>210000000</v>
      </c>
      <c r="BC25">
        <v>450</v>
      </c>
      <c r="BD25">
        <v>360000000</v>
      </c>
      <c r="BE25">
        <v>600000000</v>
      </c>
      <c r="BF25" s="20">
        <v>700000</v>
      </c>
      <c r="BG25">
        <v>210000000</v>
      </c>
      <c r="BH25">
        <v>450</v>
      </c>
      <c r="BI25">
        <v>360000000</v>
      </c>
      <c r="BJ25">
        <v>1440000</v>
      </c>
      <c r="BK25">
        <v>1440000</v>
      </c>
      <c r="BL25" s="20">
        <v>20800</v>
      </c>
      <c r="BM25" s="20">
        <v>20800</v>
      </c>
      <c r="BN25">
        <v>1040000</v>
      </c>
      <c r="BO25">
        <v>1040000</v>
      </c>
      <c r="BP25">
        <v>30</v>
      </c>
      <c r="BQ25">
        <v>30</v>
      </c>
      <c r="BR25">
        <v>540000</v>
      </c>
      <c r="BS25">
        <v>540000</v>
      </c>
      <c r="BT25">
        <v>1440000</v>
      </c>
      <c r="BU25" s="20">
        <v>20800</v>
      </c>
      <c r="BV25">
        <v>1040000</v>
      </c>
      <c r="BW25">
        <v>30</v>
      </c>
      <c r="BX25">
        <v>540000</v>
      </c>
      <c r="BY25">
        <v>1440000</v>
      </c>
      <c r="BZ25" s="20">
        <v>20800</v>
      </c>
      <c r="CA25">
        <v>1040000</v>
      </c>
      <c r="CB25">
        <v>30</v>
      </c>
      <c r="CC25">
        <v>540000</v>
      </c>
      <c r="CD25">
        <v>1440000</v>
      </c>
      <c r="CE25" s="20">
        <v>20800</v>
      </c>
      <c r="CF25">
        <v>1040000</v>
      </c>
      <c r="CG25">
        <v>30</v>
      </c>
      <c r="CH25">
        <v>540000</v>
      </c>
      <c r="CI25">
        <v>1440000</v>
      </c>
      <c r="CJ25" s="20">
        <v>20800</v>
      </c>
      <c r="CK25">
        <v>1040000</v>
      </c>
      <c r="CL25">
        <v>30</v>
      </c>
      <c r="CM25">
        <v>540000</v>
      </c>
      <c r="CN25">
        <v>1800000</v>
      </c>
      <c r="CO25">
        <v>1800000</v>
      </c>
      <c r="CP25" s="20">
        <v>13000</v>
      </c>
      <c r="CQ25" s="20">
        <v>13000</v>
      </c>
      <c r="CR25">
        <v>884000</v>
      </c>
      <c r="CS25">
        <v>884000</v>
      </c>
      <c r="CT25">
        <v>82</v>
      </c>
      <c r="CU25">
        <v>82</v>
      </c>
      <c r="CV25">
        <v>984000</v>
      </c>
      <c r="CW25">
        <v>984000</v>
      </c>
      <c r="CX25">
        <v>1800000</v>
      </c>
      <c r="CY25" s="20">
        <v>13000</v>
      </c>
      <c r="CZ25">
        <v>884000</v>
      </c>
      <c r="DA25">
        <v>82</v>
      </c>
      <c r="DB25">
        <v>984000</v>
      </c>
      <c r="DC25">
        <v>1800000</v>
      </c>
      <c r="DD25" s="20">
        <v>13000</v>
      </c>
      <c r="DE25">
        <v>884000</v>
      </c>
      <c r="DF25">
        <v>82</v>
      </c>
      <c r="DG25">
        <v>984000</v>
      </c>
      <c r="DH25">
        <v>1800000</v>
      </c>
      <c r="DI25" s="20">
        <v>13000</v>
      </c>
      <c r="DJ25">
        <v>884000</v>
      </c>
      <c r="DK25">
        <v>82</v>
      </c>
      <c r="DL25">
        <v>984000</v>
      </c>
      <c r="DM25">
        <v>1800000</v>
      </c>
      <c r="DN25" s="20">
        <v>13000</v>
      </c>
      <c r="DO25">
        <v>884000</v>
      </c>
      <c r="DP25">
        <v>82</v>
      </c>
      <c r="DQ25">
        <v>984000</v>
      </c>
      <c r="DR25">
        <v>28000000</v>
      </c>
      <c r="DS25">
        <v>28000000</v>
      </c>
      <c r="DT25" s="20">
        <v>39000</v>
      </c>
      <c r="DU25" s="20">
        <v>39000</v>
      </c>
      <c r="DV25">
        <v>22698000</v>
      </c>
      <c r="DW25">
        <v>22698000</v>
      </c>
      <c r="DX25">
        <v>118</v>
      </c>
      <c r="DY25">
        <v>118</v>
      </c>
      <c r="DZ25">
        <v>4720000</v>
      </c>
      <c r="EA25">
        <v>4720000</v>
      </c>
      <c r="EB25">
        <v>28000000</v>
      </c>
      <c r="EC25" s="20">
        <v>39000</v>
      </c>
      <c r="ED25">
        <v>22698000</v>
      </c>
      <c r="EE25">
        <v>118</v>
      </c>
      <c r="EF25">
        <v>4720000</v>
      </c>
      <c r="EG25">
        <v>28000000</v>
      </c>
      <c r="EH25" s="20">
        <v>39000</v>
      </c>
      <c r="EI25">
        <v>22698000</v>
      </c>
      <c r="EJ25">
        <v>118</v>
      </c>
      <c r="EK25">
        <v>4720000</v>
      </c>
      <c r="EL25">
        <v>28000000</v>
      </c>
      <c r="EM25" s="20">
        <v>39000</v>
      </c>
      <c r="EN25">
        <v>22698000</v>
      </c>
      <c r="EO25">
        <v>118</v>
      </c>
      <c r="EP25">
        <v>4720000</v>
      </c>
      <c r="EQ25">
        <v>28000000</v>
      </c>
      <c r="ER25" s="20">
        <v>39000</v>
      </c>
      <c r="ES25">
        <v>22698000</v>
      </c>
      <c r="ET25">
        <v>118</v>
      </c>
      <c r="EU25">
        <v>4720000</v>
      </c>
      <c r="EV25">
        <v>12249650</v>
      </c>
      <c r="EW25">
        <v>12249650</v>
      </c>
      <c r="EX25" s="20">
        <v>37900</v>
      </c>
      <c r="EY25" s="20">
        <v>37900</v>
      </c>
      <c r="EZ25">
        <v>10460400</v>
      </c>
      <c r="FA25">
        <v>10460400</v>
      </c>
      <c r="FB25">
        <v>74</v>
      </c>
      <c r="FC25">
        <v>74</v>
      </c>
      <c r="FD25">
        <v>2589926</v>
      </c>
      <c r="FE25">
        <v>2589926</v>
      </c>
      <c r="FF25">
        <v>12249650</v>
      </c>
      <c r="FG25" s="20">
        <v>37900</v>
      </c>
      <c r="FH25">
        <v>10460400</v>
      </c>
      <c r="FI25">
        <v>74</v>
      </c>
      <c r="FJ25">
        <v>2589926</v>
      </c>
      <c r="FK25">
        <v>12249650</v>
      </c>
      <c r="FL25" s="20">
        <v>37900</v>
      </c>
      <c r="FM25">
        <v>10460400</v>
      </c>
      <c r="FN25">
        <v>74</v>
      </c>
      <c r="FO25">
        <v>2589926</v>
      </c>
      <c r="FP25">
        <v>12249650</v>
      </c>
      <c r="FQ25" s="20">
        <v>37900</v>
      </c>
      <c r="FR25">
        <v>10460400</v>
      </c>
      <c r="FS25">
        <v>74</v>
      </c>
      <c r="FT25">
        <v>2589926</v>
      </c>
      <c r="FU25">
        <v>12249650</v>
      </c>
      <c r="FV25" s="20">
        <v>37900</v>
      </c>
      <c r="FW25">
        <v>10460400</v>
      </c>
      <c r="FX25">
        <v>74</v>
      </c>
      <c r="FY25">
        <v>2589926</v>
      </c>
      <c r="FZ25">
        <v>10750000</v>
      </c>
      <c r="GA25">
        <v>10750000</v>
      </c>
      <c r="GB25" s="20">
        <v>49999</v>
      </c>
      <c r="GC25" s="20">
        <v>49999</v>
      </c>
      <c r="GD25">
        <v>11149777</v>
      </c>
      <c r="GE25">
        <v>11149777</v>
      </c>
      <c r="GF25">
        <v>27</v>
      </c>
      <c r="GG25">
        <v>27</v>
      </c>
      <c r="GH25">
        <v>1161000</v>
      </c>
      <c r="GI25">
        <v>1161000</v>
      </c>
      <c r="GJ25">
        <v>10750000</v>
      </c>
      <c r="GK25" s="20">
        <v>49999</v>
      </c>
      <c r="GL25">
        <v>11149777</v>
      </c>
      <c r="GM25">
        <v>27</v>
      </c>
      <c r="GN25">
        <v>1161000</v>
      </c>
      <c r="GO25">
        <v>10750000</v>
      </c>
      <c r="GP25" s="20">
        <v>49999</v>
      </c>
      <c r="GQ25">
        <v>11149777</v>
      </c>
      <c r="GR25">
        <v>27</v>
      </c>
      <c r="GS25">
        <v>1161000</v>
      </c>
      <c r="GT25">
        <v>10750000</v>
      </c>
      <c r="GU25" s="20">
        <v>49999</v>
      </c>
      <c r="GV25">
        <v>11149777</v>
      </c>
      <c r="GW25">
        <v>27</v>
      </c>
      <c r="GX25">
        <v>1161000</v>
      </c>
      <c r="GY25">
        <v>10750000</v>
      </c>
      <c r="GZ25" s="20">
        <v>49999</v>
      </c>
      <c r="HA25">
        <v>11149777</v>
      </c>
      <c r="HB25">
        <v>27</v>
      </c>
      <c r="HC25">
        <v>1161000</v>
      </c>
      <c r="HD25">
        <v>24800000</v>
      </c>
      <c r="HE25">
        <v>24800000</v>
      </c>
      <c r="HF25" s="20">
        <v>68670</v>
      </c>
      <c r="HG25" s="20">
        <v>68670</v>
      </c>
      <c r="HH25">
        <v>19227600</v>
      </c>
      <c r="HI25">
        <v>19227600</v>
      </c>
      <c r="HJ25">
        <v>120</v>
      </c>
      <c r="HK25">
        <v>120</v>
      </c>
      <c r="HL25">
        <v>7440000</v>
      </c>
      <c r="HM25">
        <v>7440000</v>
      </c>
      <c r="HN25">
        <v>24800000</v>
      </c>
      <c r="HO25" s="20">
        <v>68670</v>
      </c>
      <c r="HP25">
        <v>19227600</v>
      </c>
      <c r="HQ25">
        <v>120</v>
      </c>
      <c r="HR25">
        <v>7440000</v>
      </c>
      <c r="HS25">
        <v>24800000</v>
      </c>
      <c r="HT25" s="20">
        <v>68670</v>
      </c>
      <c r="HU25">
        <v>19227600</v>
      </c>
      <c r="HV25">
        <v>120</v>
      </c>
      <c r="HW25">
        <v>7440000</v>
      </c>
      <c r="HX25">
        <v>24800000</v>
      </c>
      <c r="HY25" s="20">
        <v>68670</v>
      </c>
      <c r="HZ25">
        <v>19227600</v>
      </c>
      <c r="IA25">
        <v>120</v>
      </c>
      <c r="IB25">
        <v>7440000</v>
      </c>
      <c r="IC25">
        <v>24800000</v>
      </c>
      <c r="ID25" s="20">
        <v>68670</v>
      </c>
      <c r="IE25">
        <v>19227600</v>
      </c>
      <c r="IF25">
        <v>120</v>
      </c>
      <c r="IG25">
        <v>7440000</v>
      </c>
      <c r="IH25">
        <v>7296000</v>
      </c>
      <c r="II25">
        <v>7296000</v>
      </c>
      <c r="IJ25" s="20">
        <v>25000</v>
      </c>
      <c r="IK25" s="20">
        <v>25000</v>
      </c>
      <c r="IL25">
        <v>7500000</v>
      </c>
      <c r="IM25">
        <v>7500000</v>
      </c>
      <c r="IN25">
        <v>20</v>
      </c>
      <c r="IO25">
        <v>20</v>
      </c>
      <c r="IP25">
        <v>456000</v>
      </c>
      <c r="IQ25">
        <v>456000</v>
      </c>
      <c r="IR25">
        <v>7296000</v>
      </c>
      <c r="IS25" s="20">
        <v>25000</v>
      </c>
      <c r="IT25">
        <v>7500000</v>
      </c>
      <c r="IU25">
        <v>20</v>
      </c>
      <c r="IV25">
        <v>456000</v>
      </c>
      <c r="IW25">
        <v>7296000</v>
      </c>
      <c r="IX25" s="20">
        <v>25000</v>
      </c>
      <c r="IY25">
        <v>7500000</v>
      </c>
      <c r="IZ25">
        <v>20</v>
      </c>
      <c r="JA25">
        <v>456000</v>
      </c>
      <c r="JB25">
        <v>7296000</v>
      </c>
      <c r="JC25" s="20">
        <v>25000</v>
      </c>
      <c r="JD25">
        <v>7500000</v>
      </c>
      <c r="JE25">
        <v>20</v>
      </c>
      <c r="JF25">
        <v>456000</v>
      </c>
      <c r="JG25">
        <v>7296000</v>
      </c>
      <c r="JH25" s="20">
        <v>25000</v>
      </c>
      <c r="JI25">
        <v>7500000</v>
      </c>
      <c r="JJ25">
        <v>20</v>
      </c>
      <c r="JK25">
        <v>456000</v>
      </c>
      <c r="JL25">
        <v>1000000</v>
      </c>
      <c r="JM25">
        <v>1000000</v>
      </c>
      <c r="JN25" s="20">
        <v>16000</v>
      </c>
      <c r="JO25" s="20">
        <v>16000</v>
      </c>
      <c r="JP25">
        <v>800000</v>
      </c>
      <c r="JQ25">
        <v>800000</v>
      </c>
      <c r="JR25">
        <v>45</v>
      </c>
      <c r="JS25">
        <v>45</v>
      </c>
      <c r="JT25">
        <v>900000</v>
      </c>
      <c r="JU25">
        <v>900000</v>
      </c>
      <c r="JV25">
        <v>1000000</v>
      </c>
      <c r="JW25" s="20">
        <v>16000</v>
      </c>
      <c r="JX25">
        <v>800000</v>
      </c>
      <c r="JY25">
        <v>45</v>
      </c>
      <c r="JZ25">
        <v>900000</v>
      </c>
      <c r="KA25">
        <v>1000000</v>
      </c>
      <c r="KB25" s="20">
        <v>16000</v>
      </c>
      <c r="KC25">
        <v>800000</v>
      </c>
      <c r="KD25">
        <v>45</v>
      </c>
      <c r="KE25">
        <v>900000</v>
      </c>
      <c r="KF25">
        <v>1000000</v>
      </c>
      <c r="KG25" s="20">
        <v>16000</v>
      </c>
      <c r="KH25">
        <v>800000</v>
      </c>
      <c r="KI25">
        <v>45</v>
      </c>
      <c r="KJ25">
        <v>900000</v>
      </c>
      <c r="KK25">
        <v>1000000</v>
      </c>
      <c r="KL25" s="20">
        <v>16000</v>
      </c>
      <c r="KM25">
        <v>800000</v>
      </c>
      <c r="KN25">
        <v>45</v>
      </c>
      <c r="KO25">
        <v>900000</v>
      </c>
      <c r="KP25">
        <v>17999500</v>
      </c>
      <c r="KQ25">
        <v>17999500</v>
      </c>
      <c r="KR25" s="20">
        <v>40000</v>
      </c>
      <c r="KS25" s="20">
        <v>40000</v>
      </c>
      <c r="KT25">
        <v>12000000</v>
      </c>
      <c r="KU25">
        <v>12000000</v>
      </c>
      <c r="KV25">
        <v>200</v>
      </c>
      <c r="KW25">
        <v>200</v>
      </c>
      <c r="KX25">
        <v>7199800</v>
      </c>
      <c r="KY25">
        <v>7199800</v>
      </c>
      <c r="KZ25">
        <v>17999500</v>
      </c>
      <c r="LA25" s="20">
        <v>40000</v>
      </c>
      <c r="LB25">
        <v>12000000</v>
      </c>
      <c r="LC25">
        <v>200</v>
      </c>
      <c r="LD25">
        <v>7199800</v>
      </c>
      <c r="LE25">
        <v>17999500</v>
      </c>
      <c r="LF25" s="20">
        <v>40000</v>
      </c>
      <c r="LG25">
        <v>12000000</v>
      </c>
      <c r="LH25">
        <v>200</v>
      </c>
      <c r="LI25">
        <v>7199800</v>
      </c>
      <c r="LJ25">
        <v>17999500</v>
      </c>
      <c r="LK25" s="20">
        <v>40000</v>
      </c>
      <c r="LL25">
        <v>12000000</v>
      </c>
      <c r="LM25">
        <v>200</v>
      </c>
      <c r="LN25">
        <v>7199800</v>
      </c>
      <c r="LO25">
        <v>17999500</v>
      </c>
      <c r="LP25" s="20">
        <v>40000</v>
      </c>
      <c r="LQ25">
        <v>12000000</v>
      </c>
      <c r="LR25">
        <v>200</v>
      </c>
      <c r="LS25">
        <v>7199800</v>
      </c>
      <c r="LT25">
        <v>50846010</v>
      </c>
      <c r="LU25">
        <v>50846010</v>
      </c>
      <c r="LV25" s="20">
        <v>13000</v>
      </c>
      <c r="LW25" s="20">
        <v>13000</v>
      </c>
      <c r="LX25">
        <v>330565777</v>
      </c>
      <c r="LY25">
        <v>330565777</v>
      </c>
      <c r="LZ25">
        <v>450</v>
      </c>
      <c r="MA25">
        <v>450</v>
      </c>
      <c r="MB25">
        <v>15</v>
      </c>
      <c r="MC25">
        <v>15</v>
      </c>
      <c r="MD25">
        <v>50846010</v>
      </c>
      <c r="ME25" s="20">
        <v>13000</v>
      </c>
      <c r="MF25">
        <v>330565777</v>
      </c>
      <c r="MG25">
        <v>450</v>
      </c>
      <c r="MH25">
        <v>15</v>
      </c>
      <c r="MI25">
        <v>50846010</v>
      </c>
      <c r="MJ25" s="20">
        <v>13000</v>
      </c>
      <c r="MK25">
        <v>330565777</v>
      </c>
      <c r="ML25">
        <v>450</v>
      </c>
      <c r="MM25">
        <v>15</v>
      </c>
      <c r="MN25">
        <v>50846010</v>
      </c>
      <c r="MO25" s="20">
        <v>13000</v>
      </c>
      <c r="MP25">
        <v>330565777</v>
      </c>
      <c r="MQ25">
        <v>450</v>
      </c>
      <c r="MR25">
        <v>15</v>
      </c>
      <c r="MS25">
        <v>5650000</v>
      </c>
      <c r="MT25">
        <v>5650000</v>
      </c>
      <c r="MU25" s="20">
        <v>60000</v>
      </c>
      <c r="MV25" s="20">
        <v>60000</v>
      </c>
      <c r="MW25">
        <v>3000000</v>
      </c>
      <c r="MX25">
        <v>3000000</v>
      </c>
      <c r="MY25">
        <v>50</v>
      </c>
      <c r="MZ25">
        <v>50</v>
      </c>
      <c r="NA25">
        <v>2825000</v>
      </c>
      <c r="NB25">
        <v>2825000</v>
      </c>
      <c r="NC25">
        <v>5650000</v>
      </c>
      <c r="ND25" s="20">
        <v>60000</v>
      </c>
      <c r="NE25">
        <v>3000000</v>
      </c>
      <c r="NF25">
        <v>50</v>
      </c>
      <c r="NG25">
        <v>2825000</v>
      </c>
      <c r="NH25">
        <v>5650000</v>
      </c>
      <c r="NI25" s="20">
        <v>60000</v>
      </c>
      <c r="NJ25">
        <v>3000000</v>
      </c>
      <c r="NK25">
        <v>50</v>
      </c>
      <c r="NL25">
        <v>2825000</v>
      </c>
      <c r="NM25">
        <v>5650000</v>
      </c>
      <c r="NN25" s="20">
        <v>60000</v>
      </c>
      <c r="NO25">
        <v>3000000</v>
      </c>
      <c r="NP25">
        <v>50</v>
      </c>
      <c r="NQ25">
        <v>2825000</v>
      </c>
      <c r="NR25">
        <v>56496010</v>
      </c>
      <c r="NS25" s="20">
        <v>73000</v>
      </c>
      <c r="NT25">
        <v>333565777</v>
      </c>
      <c r="NU25">
        <v>500</v>
      </c>
      <c r="NV25">
        <v>2825015</v>
      </c>
      <c r="NW25">
        <v>7425000</v>
      </c>
      <c r="NX25">
        <v>7425000</v>
      </c>
      <c r="NY25" s="20">
        <v>20000</v>
      </c>
      <c r="NZ25" s="20">
        <v>20000</v>
      </c>
      <c r="OA25">
        <v>6400000</v>
      </c>
      <c r="OB25">
        <v>6400000</v>
      </c>
      <c r="OC25">
        <v>130</v>
      </c>
      <c r="OD25">
        <v>130</v>
      </c>
      <c r="OE25">
        <v>2145000</v>
      </c>
      <c r="OF25">
        <v>2145000</v>
      </c>
      <c r="OG25">
        <v>7425000</v>
      </c>
      <c r="OH25" s="20">
        <v>20000</v>
      </c>
      <c r="OI25">
        <v>6400000</v>
      </c>
      <c r="OJ25">
        <v>130</v>
      </c>
      <c r="OK25">
        <v>2145000</v>
      </c>
      <c r="OL25">
        <v>7425000</v>
      </c>
      <c r="OM25" s="20">
        <v>20000</v>
      </c>
      <c r="ON25">
        <v>6400000</v>
      </c>
      <c r="OO25">
        <v>130</v>
      </c>
      <c r="OP25">
        <v>2145000</v>
      </c>
      <c r="OQ25">
        <v>7425000</v>
      </c>
      <c r="OR25" s="20">
        <v>20000</v>
      </c>
      <c r="OS25">
        <v>6400000</v>
      </c>
      <c r="OT25">
        <v>130</v>
      </c>
      <c r="OU25">
        <v>2145000</v>
      </c>
      <c r="OV25">
        <v>7425000</v>
      </c>
      <c r="OW25" s="20">
        <v>20000</v>
      </c>
      <c r="OX25">
        <v>6400000</v>
      </c>
      <c r="OY25">
        <v>130</v>
      </c>
      <c r="OZ25">
        <v>2145000</v>
      </c>
      <c r="PA25">
        <v>300000</v>
      </c>
      <c r="PB25">
        <v>300000</v>
      </c>
      <c r="PC25" s="20">
        <v>14000</v>
      </c>
      <c r="PD25" s="20">
        <v>14000</v>
      </c>
      <c r="PE25">
        <v>140000</v>
      </c>
      <c r="PF25">
        <v>140000</v>
      </c>
      <c r="PG25">
        <v>10</v>
      </c>
      <c r="PH25">
        <v>10</v>
      </c>
      <c r="PI25">
        <v>150000</v>
      </c>
      <c r="PJ25">
        <v>150000</v>
      </c>
      <c r="PK25">
        <v>300000</v>
      </c>
      <c r="PL25" s="20">
        <v>14000</v>
      </c>
      <c r="PM25">
        <v>140000</v>
      </c>
      <c r="PN25">
        <v>10</v>
      </c>
      <c r="PO25">
        <v>150000</v>
      </c>
      <c r="PP25">
        <v>300000</v>
      </c>
      <c r="PQ25" s="20">
        <v>14000</v>
      </c>
      <c r="PR25">
        <v>140000</v>
      </c>
      <c r="PS25">
        <v>10</v>
      </c>
      <c r="PT25">
        <v>150000</v>
      </c>
      <c r="PU25">
        <v>300000</v>
      </c>
      <c r="PV25" s="20">
        <v>14000</v>
      </c>
      <c r="PW25">
        <v>140000</v>
      </c>
      <c r="PX25">
        <v>10</v>
      </c>
      <c r="PY25">
        <v>150000</v>
      </c>
      <c r="PZ25">
        <v>300000</v>
      </c>
      <c r="QA25" s="20">
        <v>14000</v>
      </c>
      <c r="QB25">
        <v>140000</v>
      </c>
      <c r="QC25">
        <v>10</v>
      </c>
      <c r="QD25">
        <v>150000</v>
      </c>
      <c r="QE25">
        <v>13380000</v>
      </c>
      <c r="QF25">
        <v>13380000</v>
      </c>
      <c r="QG25" s="20">
        <v>71000</v>
      </c>
      <c r="QH25" s="20">
        <v>71000</v>
      </c>
      <c r="QI25">
        <v>2130000</v>
      </c>
      <c r="QJ25">
        <v>2130000</v>
      </c>
      <c r="QK25">
        <v>170</v>
      </c>
      <c r="QL25">
        <v>170</v>
      </c>
      <c r="QM25">
        <v>11373000</v>
      </c>
      <c r="QN25">
        <v>11373000</v>
      </c>
      <c r="QO25">
        <v>13380000</v>
      </c>
      <c r="QP25" s="20">
        <v>71000</v>
      </c>
      <c r="QQ25">
        <v>2130000</v>
      </c>
      <c r="QR25">
        <v>170</v>
      </c>
      <c r="QS25">
        <v>11373000</v>
      </c>
      <c r="QT25">
        <v>13380000</v>
      </c>
      <c r="QU25" s="20">
        <v>71000</v>
      </c>
      <c r="QV25">
        <v>2130000</v>
      </c>
      <c r="QW25">
        <v>170</v>
      </c>
      <c r="QX25">
        <v>11373000</v>
      </c>
      <c r="QY25">
        <v>13380000</v>
      </c>
      <c r="QZ25" s="20">
        <v>71000</v>
      </c>
      <c r="RA25">
        <v>2130000</v>
      </c>
      <c r="RB25">
        <v>170</v>
      </c>
      <c r="RC25">
        <v>11373000</v>
      </c>
      <c r="RD25">
        <v>13380000</v>
      </c>
      <c r="RE25" s="20">
        <v>71000</v>
      </c>
      <c r="RF25">
        <v>2130000</v>
      </c>
      <c r="RG25">
        <v>170</v>
      </c>
      <c r="RH25">
        <v>11373000</v>
      </c>
      <c r="RI25">
        <v>813536160</v>
      </c>
      <c r="RJ25" s="20">
        <v>1236369</v>
      </c>
      <c r="RK25">
        <v>661131554</v>
      </c>
      <c r="RL25">
        <v>2094</v>
      </c>
      <c r="RM25">
        <v>408501741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F117-2E9A-44B1-876B-779F0583E70F}">
  <dimension ref="A1:R28"/>
  <sheetViews>
    <sheetView tabSelected="1" workbookViewId="0">
      <selection activeCell="H25" sqref="H25"/>
    </sheetView>
  </sheetViews>
  <sheetFormatPr defaultRowHeight="14.25" x14ac:dyDescent="0.45"/>
  <cols>
    <col min="1" max="1" width="9.19921875" bestFit="1" customWidth="1"/>
    <col min="2" max="2" width="7.1328125" customWidth="1"/>
    <col min="3" max="3" width="13.3984375" customWidth="1"/>
    <col min="4" max="4" width="10.796875" customWidth="1"/>
    <col min="5" max="6" width="11.33203125" customWidth="1"/>
    <col min="7" max="7" width="11.265625" customWidth="1"/>
    <col min="8" max="8" width="11.796875" customWidth="1"/>
    <col min="9" max="9" width="12.86328125" customWidth="1"/>
    <col min="10" max="10" width="14.3984375" customWidth="1"/>
    <col min="11" max="11" width="13.73046875" customWidth="1"/>
    <col min="12" max="12" width="9.3984375" customWidth="1"/>
    <col min="13" max="13" width="11.6640625" customWidth="1"/>
    <col min="14" max="14" width="13.3984375" customWidth="1"/>
  </cols>
  <sheetData>
    <row r="1" spans="1:18" x14ac:dyDescent="0.45">
      <c r="A1" s="34" t="s">
        <v>28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x14ac:dyDescent="0.4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x14ac:dyDescent="0.4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spans="1:18" x14ac:dyDescent="0.4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ht="23.25" customHeight="1" x14ac:dyDescent="0.75">
      <c r="A5" s="21"/>
      <c r="B5" s="21"/>
      <c r="C5" s="21"/>
      <c r="D5" s="22"/>
      <c r="E5" s="26" t="s">
        <v>2</v>
      </c>
      <c r="F5" s="21"/>
      <c r="G5" s="27"/>
      <c r="H5" s="28" t="s">
        <v>7</v>
      </c>
      <c r="I5" s="23"/>
      <c r="J5" s="29" t="s">
        <v>10</v>
      </c>
      <c r="K5" s="24"/>
      <c r="L5" s="30" t="s">
        <v>25</v>
      </c>
      <c r="M5" s="25"/>
      <c r="N5" s="31" t="s">
        <v>27</v>
      </c>
    </row>
    <row r="6" spans="1:18" ht="14.25" customHeight="1" x14ac:dyDescent="0.75">
      <c r="A6" s="3" t="s">
        <v>3</v>
      </c>
      <c r="B6" s="3" t="s">
        <v>0</v>
      </c>
      <c r="C6" s="3" t="s">
        <v>1</v>
      </c>
      <c r="D6" s="3" t="s">
        <v>5</v>
      </c>
      <c r="E6" s="3" t="s">
        <v>6</v>
      </c>
      <c r="F6" s="3" t="s">
        <v>4</v>
      </c>
      <c r="G6" s="3" t="s">
        <v>8</v>
      </c>
      <c r="H6" s="3" t="s">
        <v>9</v>
      </c>
      <c r="I6" s="3" t="s">
        <v>4</v>
      </c>
      <c r="J6" s="3" t="s">
        <v>5</v>
      </c>
      <c r="K6" s="3" t="s">
        <v>4</v>
      </c>
      <c r="L6" s="2"/>
      <c r="M6" s="2"/>
      <c r="N6" s="1"/>
    </row>
    <row r="7" spans="1:18" ht="14.25" customHeight="1" x14ac:dyDescent="0.45">
      <c r="A7" s="6">
        <v>45658</v>
      </c>
      <c r="B7" s="1">
        <v>1</v>
      </c>
      <c r="C7" s="1" t="s">
        <v>11</v>
      </c>
      <c r="D7" s="1">
        <v>100</v>
      </c>
      <c r="E7" s="4">
        <v>56500</v>
      </c>
      <c r="F7" s="1">
        <f>D7*E7</f>
        <v>5650000</v>
      </c>
      <c r="G7" s="1">
        <v>50</v>
      </c>
      <c r="H7" s="4">
        <v>60000</v>
      </c>
      <c r="I7" s="1">
        <f>G7*H7</f>
        <v>3000000</v>
      </c>
      <c r="J7" s="1">
        <f>D7-G7</f>
        <v>50</v>
      </c>
      <c r="K7" s="1">
        <f>J7*E7</f>
        <v>2825000</v>
      </c>
      <c r="L7" s="32">
        <f>K7+I7-F7</f>
        <v>175000</v>
      </c>
      <c r="M7" s="32"/>
      <c r="N7" s="8" t="str">
        <f>IF(K6&gt;28000,"PROFIT",IF(K7&lt;14000,"loss"))</f>
        <v>PROFIT</v>
      </c>
    </row>
    <row r="8" spans="1:18" ht="14.25" customHeight="1" x14ac:dyDescent="0.45">
      <c r="A8" s="6">
        <v>45689</v>
      </c>
      <c r="B8" s="1">
        <v>2</v>
      </c>
      <c r="C8" s="1" t="s">
        <v>12</v>
      </c>
      <c r="D8" s="1">
        <v>500</v>
      </c>
      <c r="E8" s="4">
        <v>35999</v>
      </c>
      <c r="F8" s="1">
        <f t="shared" ref="F8:F21" si="0">D8*E8</f>
        <v>17999500</v>
      </c>
      <c r="G8" s="1">
        <v>300</v>
      </c>
      <c r="H8" s="4">
        <v>40000</v>
      </c>
      <c r="I8" s="1">
        <f t="shared" ref="I8:I21" si="1">G8*H8</f>
        <v>12000000</v>
      </c>
      <c r="J8" s="1">
        <f t="shared" ref="J8:J21" si="2">D8-G8</f>
        <v>200</v>
      </c>
      <c r="K8" s="1">
        <f>J8*E8</f>
        <v>7199800</v>
      </c>
      <c r="L8" s="32">
        <f t="shared" ref="L8:L21" si="3">K8+I8-F8</f>
        <v>1200300</v>
      </c>
      <c r="M8" s="32"/>
      <c r="N8" s="8" t="str">
        <f>IF(K7&gt;28000,"PROFIT",IF(K8&lt;14000,"loss"))</f>
        <v>PROFIT</v>
      </c>
    </row>
    <row r="9" spans="1:18" ht="14.25" customHeight="1" x14ac:dyDescent="0.45">
      <c r="A9" s="6">
        <v>45717</v>
      </c>
      <c r="B9" s="1">
        <v>3</v>
      </c>
      <c r="C9" s="1" t="s">
        <v>13</v>
      </c>
      <c r="D9" s="1">
        <v>400</v>
      </c>
      <c r="E9" s="4">
        <v>62000</v>
      </c>
      <c r="F9" s="1">
        <f t="shared" si="0"/>
        <v>24800000</v>
      </c>
      <c r="G9" s="1">
        <v>280</v>
      </c>
      <c r="H9" s="4">
        <v>68670</v>
      </c>
      <c r="I9" s="1">
        <f t="shared" si="1"/>
        <v>19227600</v>
      </c>
      <c r="J9" s="1">
        <f t="shared" si="2"/>
        <v>120</v>
      </c>
      <c r="K9" s="1">
        <f t="shared" ref="K9:K21" si="4">J9*E9</f>
        <v>7440000</v>
      </c>
      <c r="L9" s="32">
        <f t="shared" si="3"/>
        <v>1867600</v>
      </c>
      <c r="M9" s="32"/>
      <c r="N9" s="8" t="str">
        <f>IF(K8&gt;28000,"PROFIT",IF(K9&lt;14000,"loss"))</f>
        <v>PROFIT</v>
      </c>
    </row>
    <row r="10" spans="1:18" ht="14.25" customHeight="1" x14ac:dyDescent="0.45">
      <c r="A10" s="6">
        <v>45748</v>
      </c>
      <c r="B10" s="1">
        <v>4</v>
      </c>
      <c r="C10" s="1" t="s">
        <v>14</v>
      </c>
      <c r="D10" s="1">
        <v>200</v>
      </c>
      <c r="E10" s="4">
        <v>66900</v>
      </c>
      <c r="F10" s="1">
        <f t="shared" si="0"/>
        <v>13380000</v>
      </c>
      <c r="G10" s="1">
        <v>30</v>
      </c>
      <c r="H10" s="4">
        <v>71000</v>
      </c>
      <c r="I10" s="1">
        <f t="shared" si="1"/>
        <v>2130000</v>
      </c>
      <c r="J10" s="1">
        <f t="shared" si="2"/>
        <v>170</v>
      </c>
      <c r="K10" s="1">
        <f t="shared" si="4"/>
        <v>11373000</v>
      </c>
      <c r="L10" s="32">
        <f>K10+I10-F10</f>
        <v>123000</v>
      </c>
      <c r="M10" s="32"/>
      <c r="N10" s="8" t="str">
        <f>IF(K9&gt;28000,"PROFIT",IF(K10&lt;14000,"loss"))</f>
        <v>PROFIT</v>
      </c>
    </row>
    <row r="11" spans="1:18" ht="14.25" customHeight="1" x14ac:dyDescent="0.45">
      <c r="A11" s="6">
        <v>45778</v>
      </c>
      <c r="B11" s="1">
        <v>5</v>
      </c>
      <c r="C11" s="1" t="s">
        <v>15</v>
      </c>
      <c r="D11" s="1">
        <v>50</v>
      </c>
      <c r="E11" s="4">
        <v>20000</v>
      </c>
      <c r="F11" s="1">
        <f t="shared" si="0"/>
        <v>1000000</v>
      </c>
      <c r="G11" s="1">
        <v>5</v>
      </c>
      <c r="H11" s="4">
        <v>16000</v>
      </c>
      <c r="I11" s="1">
        <v>800000</v>
      </c>
      <c r="J11" s="1">
        <f t="shared" si="2"/>
        <v>45</v>
      </c>
      <c r="K11" s="1">
        <f t="shared" si="4"/>
        <v>900000</v>
      </c>
      <c r="L11" s="32">
        <f t="shared" si="3"/>
        <v>700000</v>
      </c>
      <c r="M11" s="32"/>
      <c r="N11" s="8" t="str">
        <f>IF(K11&gt;L11,"PROFIT",IF(L11&lt;800000,"LOSS",))</f>
        <v>PROFIT</v>
      </c>
    </row>
    <row r="12" spans="1:18" ht="14.25" customHeight="1" x14ac:dyDescent="0.45">
      <c r="A12" s="6">
        <v>45809</v>
      </c>
      <c r="B12" s="1">
        <v>6</v>
      </c>
      <c r="C12" s="1" t="s">
        <v>16</v>
      </c>
      <c r="D12" s="1">
        <v>600</v>
      </c>
      <c r="E12" s="4">
        <v>51000</v>
      </c>
      <c r="F12" s="1">
        <f t="shared" si="0"/>
        <v>30600000</v>
      </c>
      <c r="G12" s="1">
        <v>482</v>
      </c>
      <c r="H12" s="4">
        <v>48000</v>
      </c>
      <c r="I12" s="1">
        <f t="shared" si="1"/>
        <v>23136000</v>
      </c>
      <c r="J12" s="1">
        <f t="shared" si="2"/>
        <v>118</v>
      </c>
      <c r="K12" s="1">
        <f t="shared" si="4"/>
        <v>6018000</v>
      </c>
      <c r="L12" s="32">
        <f t="shared" si="3"/>
        <v>-1446000</v>
      </c>
      <c r="M12" s="32"/>
      <c r="N12" s="9" t="str">
        <f>IF(I12&lt;F12,"LOSS",IF(I12&gt;F12,"PROFIT",))</f>
        <v>LOSS</v>
      </c>
    </row>
    <row r="13" spans="1:18" ht="14.25" customHeight="1" x14ac:dyDescent="0.45">
      <c r="A13" s="6">
        <v>45839</v>
      </c>
      <c r="B13" s="1">
        <v>7</v>
      </c>
      <c r="C13" s="1" t="s">
        <v>17</v>
      </c>
      <c r="D13" s="1">
        <v>700</v>
      </c>
      <c r="E13" s="4">
        <v>40000</v>
      </c>
      <c r="F13" s="1">
        <f t="shared" si="0"/>
        <v>28000000</v>
      </c>
      <c r="G13" s="1">
        <v>582</v>
      </c>
      <c r="H13" s="4">
        <v>39000</v>
      </c>
      <c r="I13" s="1">
        <f t="shared" si="1"/>
        <v>22698000</v>
      </c>
      <c r="J13" s="1">
        <f t="shared" si="2"/>
        <v>118</v>
      </c>
      <c r="K13" s="1">
        <f t="shared" si="4"/>
        <v>4720000</v>
      </c>
      <c r="L13" s="32">
        <f t="shared" si="3"/>
        <v>-582000</v>
      </c>
      <c r="M13" s="32"/>
      <c r="N13" s="9" t="str">
        <f>IF(F13&gt;I13,"LOSS",IF(F13&lt;I13,"PROFIT",))</f>
        <v>LOSS</v>
      </c>
    </row>
    <row r="14" spans="1:18" ht="14.25" customHeight="1" x14ac:dyDescent="0.45">
      <c r="A14" s="6">
        <v>45870</v>
      </c>
      <c r="B14" s="1">
        <v>8</v>
      </c>
      <c r="C14" s="1" t="s">
        <v>18</v>
      </c>
      <c r="D14" s="1">
        <v>150</v>
      </c>
      <c r="E14" s="4">
        <v>12000</v>
      </c>
      <c r="F14" s="1">
        <f t="shared" si="0"/>
        <v>1800000</v>
      </c>
      <c r="G14" s="1">
        <v>68</v>
      </c>
      <c r="H14" s="4">
        <v>13000</v>
      </c>
      <c r="I14" s="1">
        <f t="shared" si="1"/>
        <v>884000</v>
      </c>
      <c r="J14" s="1">
        <f t="shared" si="2"/>
        <v>82</v>
      </c>
      <c r="K14" s="1">
        <f t="shared" si="4"/>
        <v>984000</v>
      </c>
      <c r="L14" s="32">
        <f t="shared" si="3"/>
        <v>68000</v>
      </c>
      <c r="M14" s="32"/>
      <c r="N14" s="8" t="str">
        <f>IF(I14&lt;F14,"PROFIT",IF(I14&gt;F14,"LOSS",))</f>
        <v>PROFIT</v>
      </c>
    </row>
    <row r="15" spans="1:18" ht="14.25" customHeight="1" x14ac:dyDescent="0.45">
      <c r="A15" s="6">
        <v>45901</v>
      </c>
      <c r="B15" s="1">
        <v>9</v>
      </c>
      <c r="C15" s="1" t="s">
        <v>19</v>
      </c>
      <c r="D15" s="1">
        <v>20</v>
      </c>
      <c r="E15" s="4">
        <v>15000</v>
      </c>
      <c r="F15" s="1">
        <f t="shared" si="0"/>
        <v>300000</v>
      </c>
      <c r="G15" s="1">
        <v>10</v>
      </c>
      <c r="H15" s="4">
        <v>14000</v>
      </c>
      <c r="I15" s="1">
        <f t="shared" si="1"/>
        <v>140000</v>
      </c>
      <c r="J15" s="1">
        <f t="shared" si="2"/>
        <v>10</v>
      </c>
      <c r="K15" s="1">
        <f t="shared" si="4"/>
        <v>150000</v>
      </c>
      <c r="L15" s="32">
        <f t="shared" si="3"/>
        <v>-10000</v>
      </c>
      <c r="M15" s="32"/>
      <c r="N15" s="9" t="str">
        <f>IF(I15&lt;F15,"LOSS",IF(I15&gt;F15,"PROFIT",))</f>
        <v>LOSS</v>
      </c>
    </row>
    <row r="16" spans="1:18" ht="14.25" customHeight="1" x14ac:dyDescent="0.45">
      <c r="A16" s="6">
        <v>45931</v>
      </c>
      <c r="B16" s="1">
        <v>10</v>
      </c>
      <c r="C16" s="1" t="s">
        <v>20</v>
      </c>
      <c r="D16" s="1">
        <v>450</v>
      </c>
      <c r="E16" s="4">
        <v>16500</v>
      </c>
      <c r="F16" s="1">
        <f t="shared" si="0"/>
        <v>7425000</v>
      </c>
      <c r="G16" s="1">
        <v>320</v>
      </c>
      <c r="H16" s="4">
        <v>20000</v>
      </c>
      <c r="I16" s="1">
        <f t="shared" si="1"/>
        <v>6400000</v>
      </c>
      <c r="J16" s="1">
        <f t="shared" si="2"/>
        <v>130</v>
      </c>
      <c r="K16" s="1">
        <f t="shared" si="4"/>
        <v>2145000</v>
      </c>
      <c r="L16" s="32">
        <f t="shared" si="3"/>
        <v>1120000</v>
      </c>
      <c r="M16" s="32"/>
      <c r="N16" s="8" t="str">
        <f>IF(K16&gt;28000,"PROFIT",IF(K17&lt;14000,"loss"))</f>
        <v>PROFIT</v>
      </c>
    </row>
    <row r="17" spans="1:14" ht="14.25" customHeight="1" x14ac:dyDescent="0.45">
      <c r="A17" s="6">
        <v>45962</v>
      </c>
      <c r="B17" s="1">
        <v>11</v>
      </c>
      <c r="C17" s="1" t="s">
        <v>21</v>
      </c>
      <c r="D17" s="1">
        <v>350</v>
      </c>
      <c r="E17" s="4">
        <v>34999</v>
      </c>
      <c r="F17" s="1">
        <f t="shared" si="0"/>
        <v>12249650</v>
      </c>
      <c r="G17" s="1">
        <v>276</v>
      </c>
      <c r="H17" s="4">
        <v>37900</v>
      </c>
      <c r="I17" s="1">
        <f t="shared" si="1"/>
        <v>10460400</v>
      </c>
      <c r="J17" s="1">
        <f t="shared" si="2"/>
        <v>74</v>
      </c>
      <c r="K17" s="1">
        <f t="shared" si="4"/>
        <v>2589926</v>
      </c>
      <c r="L17" s="32">
        <f t="shared" si="3"/>
        <v>800676</v>
      </c>
      <c r="M17" s="32"/>
      <c r="N17" s="8" t="str">
        <f>IF(K17&gt;28000,"PROFIT",IF(K18&lt;14000,"loss"))</f>
        <v>PROFIT</v>
      </c>
    </row>
    <row r="18" spans="1:14" ht="14.25" customHeight="1" x14ac:dyDescent="0.45">
      <c r="A18" s="6">
        <v>45992</v>
      </c>
      <c r="B18" s="1">
        <v>12</v>
      </c>
      <c r="C18" s="1" t="s">
        <v>26</v>
      </c>
      <c r="D18" s="1">
        <v>750</v>
      </c>
      <c r="E18" s="4">
        <v>800000</v>
      </c>
      <c r="F18" s="1">
        <f t="shared" si="0"/>
        <v>600000000</v>
      </c>
      <c r="G18" s="1">
        <v>300</v>
      </c>
      <c r="H18" s="4">
        <v>700000</v>
      </c>
      <c r="I18" s="1">
        <f t="shared" si="1"/>
        <v>210000000</v>
      </c>
      <c r="J18" s="1">
        <f t="shared" si="2"/>
        <v>450</v>
      </c>
      <c r="K18" s="1">
        <f t="shared" si="4"/>
        <v>360000000</v>
      </c>
      <c r="L18" s="32">
        <f t="shared" si="3"/>
        <v>-30000000</v>
      </c>
      <c r="M18" s="32"/>
      <c r="N18" s="9" t="str">
        <f>IF(I18&lt;F18,"LOSS",IF(I18&gt;F18,"PROFIT",))</f>
        <v>LOSS</v>
      </c>
    </row>
    <row r="19" spans="1:14" ht="14.25" customHeight="1" x14ac:dyDescent="0.45">
      <c r="A19" s="6">
        <v>45993</v>
      </c>
      <c r="B19" s="1">
        <v>13</v>
      </c>
      <c r="C19" s="1" t="s">
        <v>22</v>
      </c>
      <c r="D19" s="1">
        <v>320</v>
      </c>
      <c r="E19" s="4">
        <v>22800</v>
      </c>
      <c r="F19" s="1">
        <f t="shared" si="0"/>
        <v>7296000</v>
      </c>
      <c r="G19" s="1">
        <v>300</v>
      </c>
      <c r="H19" s="4">
        <v>25000</v>
      </c>
      <c r="I19" s="1">
        <f t="shared" si="1"/>
        <v>7500000</v>
      </c>
      <c r="J19" s="1">
        <f t="shared" si="2"/>
        <v>20</v>
      </c>
      <c r="K19" s="1">
        <f t="shared" si="4"/>
        <v>456000</v>
      </c>
      <c r="L19" s="32">
        <f t="shared" si="3"/>
        <v>660000</v>
      </c>
      <c r="M19" s="32"/>
      <c r="N19" s="8" t="str">
        <f>IF(K19&gt;28000,"PROFIT",IF(K20&lt;I22,"loss"))</f>
        <v>PROFIT</v>
      </c>
    </row>
    <row r="20" spans="1:14" ht="14.25" customHeight="1" x14ac:dyDescent="0.45">
      <c r="A20" s="6">
        <v>45994</v>
      </c>
      <c r="B20" s="1">
        <v>14</v>
      </c>
      <c r="C20" s="1" t="s">
        <v>23</v>
      </c>
      <c r="D20" s="1">
        <v>250</v>
      </c>
      <c r="E20" s="4">
        <v>43000</v>
      </c>
      <c r="F20" s="1">
        <f t="shared" si="0"/>
        <v>10750000</v>
      </c>
      <c r="G20" s="1">
        <v>223</v>
      </c>
      <c r="H20" s="4">
        <v>49999</v>
      </c>
      <c r="I20" s="1">
        <f t="shared" si="1"/>
        <v>11149777</v>
      </c>
      <c r="J20" s="1">
        <f t="shared" si="2"/>
        <v>27</v>
      </c>
      <c r="K20" s="1">
        <f t="shared" si="4"/>
        <v>1161000</v>
      </c>
      <c r="L20" s="32">
        <f t="shared" si="3"/>
        <v>1560777</v>
      </c>
      <c r="M20" s="32"/>
      <c r="N20" s="8" t="str">
        <f>IF(K20&gt;28000,"PROFIT",IF(K21&lt;14000,"loss"))</f>
        <v>PROFIT</v>
      </c>
    </row>
    <row r="21" spans="1:14" ht="14.25" customHeight="1" x14ac:dyDescent="0.45">
      <c r="A21" s="6">
        <v>45995</v>
      </c>
      <c r="B21" s="1">
        <v>15</v>
      </c>
      <c r="C21" s="1" t="s">
        <v>24</v>
      </c>
      <c r="D21" s="1">
        <v>80</v>
      </c>
      <c r="E21" s="4">
        <v>18000</v>
      </c>
      <c r="F21" s="1">
        <f t="shared" si="0"/>
        <v>1440000</v>
      </c>
      <c r="G21" s="1">
        <v>50</v>
      </c>
      <c r="H21" s="4">
        <v>20800</v>
      </c>
      <c r="I21" s="1">
        <f t="shared" si="1"/>
        <v>1040000</v>
      </c>
      <c r="J21" s="1">
        <f t="shared" si="2"/>
        <v>30</v>
      </c>
      <c r="K21" s="1">
        <f t="shared" si="4"/>
        <v>540000</v>
      </c>
      <c r="L21" s="32">
        <f t="shared" si="3"/>
        <v>140000</v>
      </c>
      <c r="M21" s="32"/>
      <c r="N21" s="8" t="str">
        <f>IF(K21&gt;28000,"PROFIT",IF(K22&lt;14000,"loss"))</f>
        <v>PROFIT</v>
      </c>
    </row>
    <row r="22" spans="1:14" ht="14.25" customHeight="1" x14ac:dyDescent="0.45">
      <c r="A22" s="5">
        <v>45992</v>
      </c>
      <c r="B22" s="1">
        <v>16</v>
      </c>
      <c r="C22" s="1" t="str">
        <f>VLOOKUP(C7,C6:C21,1,FALSE)</f>
        <v>Samsung galaxy</v>
      </c>
      <c r="D22" s="1">
        <f>MIN(D7:D21)</f>
        <v>20</v>
      </c>
      <c r="E22" s="1">
        <f>COUNT(E7:E21)</f>
        <v>15</v>
      </c>
      <c r="F22" s="1">
        <f>AVERAGE(F7:F21)</f>
        <v>50846010</v>
      </c>
      <c r="G22" s="1">
        <f>MAX(G7:G21)</f>
        <v>582</v>
      </c>
      <c r="H22" s="4">
        <f>MIN(H7:H21)</f>
        <v>13000</v>
      </c>
      <c r="I22" s="1">
        <f>SUMIF(I7:I21,"&gt;50000")</f>
        <v>330565777</v>
      </c>
      <c r="J22" s="1">
        <f>MAX(J7:J21)</f>
        <v>450</v>
      </c>
      <c r="K22" s="1">
        <f>COUNT(K7:K21)</f>
        <v>15</v>
      </c>
      <c r="L22" s="32">
        <f>COUNTIF(L7:M21,"&gt;0")</f>
        <v>11</v>
      </c>
      <c r="M22" s="32"/>
      <c r="N22" s="1">
        <f>COUNTIF(N7:N21,"profit")</f>
        <v>11</v>
      </c>
    </row>
    <row r="23" spans="1:14" ht="14.2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32">
        <f>COUNTIF(L7:M21,"&lt;0")</f>
        <v>4</v>
      </c>
      <c r="M23" s="32"/>
      <c r="N23" s="1">
        <f>COUNTIF(N12:N18,"loss")</f>
        <v>4</v>
      </c>
    </row>
    <row r="24" spans="1:14" x14ac:dyDescent="0.45">
      <c r="A24" s="1"/>
      <c r="B24" s="1"/>
      <c r="D24" s="1"/>
      <c r="E24" s="1"/>
      <c r="F24" s="1"/>
      <c r="G24" s="1"/>
      <c r="H24" s="1"/>
      <c r="I24" s="1"/>
      <c r="J24" s="1"/>
      <c r="K24" s="1"/>
      <c r="L24" s="32"/>
      <c r="M24" s="32"/>
    </row>
    <row r="25" spans="1:14" x14ac:dyDescent="0.45">
      <c r="A25" s="1"/>
      <c r="B25" s="1"/>
      <c r="D25" s="1"/>
      <c r="E25" s="1"/>
      <c r="F25" s="7"/>
      <c r="G25" s="1"/>
      <c r="H25" s="1"/>
      <c r="I25" s="1"/>
      <c r="J25" s="1"/>
      <c r="K25" s="1"/>
      <c r="L25" s="32"/>
      <c r="M25" s="32"/>
    </row>
    <row r="26" spans="1:14" x14ac:dyDescent="0.45">
      <c r="L26" s="33"/>
      <c r="M26" s="33"/>
    </row>
    <row r="27" spans="1:14" x14ac:dyDescent="0.45">
      <c r="C27" s="1"/>
    </row>
    <row r="28" spans="1:14" x14ac:dyDescent="0.45">
      <c r="C28" s="1"/>
    </row>
  </sheetData>
  <mergeCells count="21">
    <mergeCell ref="L11:M11"/>
    <mergeCell ref="L13:M13"/>
    <mergeCell ref="L14:M14"/>
    <mergeCell ref="A1:R4"/>
    <mergeCell ref="L20:M20"/>
    <mergeCell ref="L12:M12"/>
    <mergeCell ref="L7:M7"/>
    <mergeCell ref="L8:M8"/>
    <mergeCell ref="L9:M9"/>
    <mergeCell ref="L10:M10"/>
    <mergeCell ref="L21:M21"/>
    <mergeCell ref="L15:M15"/>
    <mergeCell ref="L16:M16"/>
    <mergeCell ref="L17:M17"/>
    <mergeCell ref="L18:M18"/>
    <mergeCell ref="L19:M19"/>
    <mergeCell ref="L22:M22"/>
    <mergeCell ref="L23:M23"/>
    <mergeCell ref="L24:M24"/>
    <mergeCell ref="L25:M25"/>
    <mergeCell ref="L26:M26"/>
  </mergeCells>
  <phoneticPr fontId="4" type="noConversion"/>
  <dataValidations count="2">
    <dataValidation type="date" allowBlank="1" showInputMessage="1" showErrorMessage="1" sqref="A22" xr:uid="{062C58AC-143F-4AD4-9281-43C79AA1D0D9}">
      <formula1>45658</formula1>
      <formula2>45992</formula2>
    </dataValidation>
    <dataValidation type="date" allowBlank="1" showInputMessage="1" showErrorMessage="1" errorTitle="your enter data is invalid " error="your enter data is invalid" sqref="A7:A21" xr:uid="{908A16B3-00F5-4E68-B314-956194030AAA}">
      <formula1>45658</formula1>
      <formula2>45992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Sheet2</vt:lpstr>
      <vt:lpstr>Sheet5</vt:lpstr>
      <vt:lpstr>Sheet4</vt:lpstr>
      <vt:lpstr>Sheet6</vt:lpstr>
      <vt:lpstr>Sheet7</vt:lpstr>
      <vt:lpstr>Sheet8</vt:lpstr>
      <vt:lpstr>Sheet9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OCS</dc:creator>
  <cp:lastModifiedBy>OCS</cp:lastModifiedBy>
  <cp:lastPrinted>2026-01-31T15:42:09Z</cp:lastPrinted>
  <dcterms:created xsi:type="dcterms:W3CDTF">2026-01-27T08:45:58Z</dcterms:created>
  <dcterms:modified xsi:type="dcterms:W3CDTF">2026-01-31T15:43:08Z</dcterms:modified>
</cp:coreProperties>
</file>